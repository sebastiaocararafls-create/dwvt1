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fortlevsolar-my.sharepoint.com/personal/sebastiao_carara_fortlevsolar_com_br/Documents/Documentos/Nova pasta123/Dimensionador_String_V2/Dimensionar_web/data/"/>
    </mc:Choice>
  </mc:AlternateContent>
  <xr:revisionPtr revIDLastSave="51" documentId="11_2C1E0875CF1EBA1E28FBB791CF44BBAF54765FE3" xr6:coauthVersionLast="47" xr6:coauthVersionMax="47" xr10:uidLastSave="{C4824C97-6552-451D-96BF-AEB5DBBC4983}"/>
  <bookViews>
    <workbookView xWindow="-28920" yWindow="-120" windowWidth="29040" windowHeight="15720" tabRatio="473" xr2:uid="{00000000-000D-0000-FFFF-FFFF00000000}"/>
  </bookViews>
  <sheets>
    <sheet name="INVERSORES" sheetId="1" r:id="rId1"/>
    <sheet name="Planilha1" sheetId="3" r:id="rId2"/>
    <sheet name="MODULOS" sheetId="2" r:id="rId3"/>
  </sheets>
  <definedNames>
    <definedName name="_xlnm.Print_Area" localSheetId="0">INVERSORES!$B$4:$O$220</definedName>
    <definedName name="ASTRONERGY">#REF!</definedName>
    <definedName name="BYD">#REF!</definedName>
    <definedName name="CANADIAN">#REF!</definedName>
    <definedName name="DAH">#REF!</definedName>
    <definedName name="DASOLAR">#REF!</definedName>
    <definedName name="DMEG">#REF!</definedName>
    <definedName name="ERA">#REF!</definedName>
    <definedName name="FOXESS">#REF!</definedName>
    <definedName name="GROWATT">#REF!</definedName>
    <definedName name="HUAWEI">#REF!</definedName>
    <definedName name="INVERSORES">INVERSORES!$B$4:$B$220</definedName>
    <definedName name="INVERSORES1">Tabela1[]</definedName>
    <definedName name="JA">#REF!</definedName>
    <definedName name="JINKO">#REF!</definedName>
    <definedName name="LEAPTON">#REF!</definedName>
    <definedName name="LONGI">#REF!</definedName>
    <definedName name="MÓDULOS">MODULOS!$A$4:$A$32</definedName>
    <definedName name="MÓDULOS1">Tabela4[]</definedName>
    <definedName name="NEP">#REF!</definedName>
    <definedName name="OSDA">#REF!</definedName>
    <definedName name="RISEN">#REF!</definedName>
    <definedName name="RUNDA">#REF!</definedName>
    <definedName name="SOLIS">#REF!</definedName>
    <definedName name="SUNGROW">#REF!</definedName>
    <definedName name="TRIN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0" i="2" l="1"/>
  <c r="I119" i="2"/>
  <c r="I118" i="2"/>
  <c r="I113" i="2"/>
  <c r="I99" i="2"/>
  <c r="I52" i="2"/>
  <c r="I51" i="2"/>
  <c r="L4" i="2" l="1"/>
</calcChain>
</file>

<file path=xl/sharedStrings.xml><?xml version="1.0" encoding="utf-8"?>
<sst xmlns="http://schemas.openxmlformats.org/spreadsheetml/2006/main" count="1277" uniqueCount="416">
  <si>
    <t>MODELO</t>
  </si>
  <si>
    <t>FABRICANTE</t>
  </si>
  <si>
    <t>POTÊNCIA (KWP)</t>
  </si>
  <si>
    <t>TIPO CÉLULA</t>
  </si>
  <si>
    <t>TENSÃO ABERTO (Voc)</t>
  </si>
  <si>
    <t>TENSÃO OP. STC (Vmp)</t>
  </si>
  <si>
    <t>CORRENTE (A)</t>
  </si>
  <si>
    <t>CORRENTE CURTO (A)</t>
  </si>
  <si>
    <t>EFICIÊNCIA (%)</t>
  </si>
  <si>
    <t>COEF. TEMP. CORR. CURTO (%/°C)</t>
  </si>
  <si>
    <t>COEF. TEMP. TENSÃO ABERTO (%/°C)</t>
  </si>
  <si>
    <t>COEF. TEMP. POT. DE PICO (%/°C)</t>
  </si>
  <si>
    <t>PESO (KG)</t>
  </si>
  <si>
    <t>MONO/BIFACIAL</t>
  </si>
  <si>
    <t>ASTRONERGY</t>
  </si>
  <si>
    <t>N-TYPE</t>
  </si>
  <si>
    <t>BIFACIAL</t>
  </si>
  <si>
    <t>RONMA</t>
  </si>
  <si>
    <t>BYD</t>
  </si>
  <si>
    <t>MONOFACIAL</t>
  </si>
  <si>
    <t>CS3W-415P</t>
  </si>
  <si>
    <t>CANADIAN</t>
  </si>
  <si>
    <t>CS3W-410P</t>
  </si>
  <si>
    <t>CS3W-450MS</t>
  </si>
  <si>
    <t>CS3W-455MS</t>
  </si>
  <si>
    <t>CS6W-535MB-AG</t>
  </si>
  <si>
    <t>CS7L-580MB-AG</t>
  </si>
  <si>
    <t>CS7L-585MB-AG</t>
  </si>
  <si>
    <t>DHJ-66Y18-DG-700</t>
  </si>
  <si>
    <t>DM585M10T-B72HSW</t>
  </si>
  <si>
    <t>DM610M10RT-B72HSW</t>
  </si>
  <si>
    <t>DM600M10RT-B72HST</t>
  </si>
  <si>
    <t>ERA</t>
  </si>
  <si>
    <t>ERA-PRO-72HC585M</t>
  </si>
  <si>
    <t>ERA-RC-66HC610M</t>
  </si>
  <si>
    <t>ERA-RC66HD610M</t>
  </si>
  <si>
    <t>P-TYPE</t>
  </si>
  <si>
    <t>JKM400M-72H-V</t>
  </si>
  <si>
    <t>JINKO</t>
  </si>
  <si>
    <t>JKM340PP-72H-V</t>
  </si>
  <si>
    <t>JKM-410M-72H-V</t>
  </si>
  <si>
    <t>JKM-455M-7RL3-V</t>
  </si>
  <si>
    <t>JKM-460M-7RL3-V</t>
  </si>
  <si>
    <t>JKM-525M-7TL4-V</t>
  </si>
  <si>
    <t>JKM460M-7RL3-BDVP</t>
  </si>
  <si>
    <t>JKM525M-72HL4-TV</t>
  </si>
  <si>
    <t>JKM530M-72HL4-TV</t>
  </si>
  <si>
    <t>JKM545M-72HL4-V</t>
  </si>
  <si>
    <t>JKM455M-60HL4-V</t>
  </si>
  <si>
    <t>JKM460M-60HL4-V</t>
  </si>
  <si>
    <t>JKM540M-72HL4-V</t>
  </si>
  <si>
    <t>JKM540M-72HL4-BDVP</t>
  </si>
  <si>
    <t>JKM550M-72HL4-V</t>
  </si>
  <si>
    <t>JKM560M-72HL4-V</t>
  </si>
  <si>
    <t>JKM555M-72HL4-V</t>
  </si>
  <si>
    <t>JKM595N-72HL4-BDV</t>
  </si>
  <si>
    <t>JKM590N-72HL4-BDV</t>
  </si>
  <si>
    <t>JKM610N-66HL4M-BDV</t>
  </si>
  <si>
    <t>JKM575N-72HL4-BDV</t>
  </si>
  <si>
    <t>LP182-210-M-66-NB-610</t>
  </si>
  <si>
    <t>LEAPTON</t>
  </si>
  <si>
    <t>LR4-72HPH 450W</t>
  </si>
  <si>
    <t>LONGI</t>
  </si>
  <si>
    <t>9-BUSBAR</t>
  </si>
  <si>
    <t>LR5-72HPH-540M</t>
  </si>
  <si>
    <t>LR5-66HPH-500M</t>
  </si>
  <si>
    <t>LR5-72HPH-545M</t>
  </si>
  <si>
    <t>LR5-72HBD-540M</t>
  </si>
  <si>
    <t>LR5-72HTH-585M</t>
  </si>
  <si>
    <t>ODA550W-36V-MH</t>
  </si>
  <si>
    <t>OSDA</t>
  </si>
  <si>
    <t>ODA545W-36V-MHT</t>
  </si>
  <si>
    <t>ODA545W-36V-MH</t>
  </si>
  <si>
    <t>ODA570-36V-MH</t>
  </si>
  <si>
    <t>ODA555-36V-MH</t>
  </si>
  <si>
    <t>ODA585-36V-MH</t>
  </si>
  <si>
    <t>ODA610-33V-MHDRZ</t>
  </si>
  <si>
    <t>ODA585-36V-MHD</t>
  </si>
  <si>
    <t>RISEN</t>
  </si>
  <si>
    <t>RUNDA</t>
  </si>
  <si>
    <t>TSM-405DE09</t>
  </si>
  <si>
    <t>TRINA</t>
  </si>
  <si>
    <t>MAX. POT. ENTRADA (KWP)</t>
  </si>
  <si>
    <t>Nº ENTRADAS INVERSOR</t>
  </si>
  <si>
    <t>Nº MPPTS</t>
  </si>
  <si>
    <t>MAX. POT. SAÍDA (KW)</t>
  </si>
  <si>
    <t>TENSÃO SAÍDA (V)</t>
  </si>
  <si>
    <t>FASES</t>
  </si>
  <si>
    <t>TENSÃO MÁX. ENTRADA (V)</t>
  </si>
  <si>
    <t>TENSÃO MÁX. MPP (V)</t>
  </si>
  <si>
    <t>TENSÃO MÍN PARTIDA. (V)</t>
  </si>
  <si>
    <t>CORRENTE MÁX. ENTRADA FV (A)</t>
  </si>
  <si>
    <t>CORRENTE MÁX. SAÍDA (A)</t>
  </si>
  <si>
    <t>CORRENTE MÁX. CURTO (A)</t>
  </si>
  <si>
    <t>PESO BRUTO (KG)</t>
  </si>
  <si>
    <t>CONFIGURAÇÃO MPPTs</t>
  </si>
  <si>
    <t>FOXESS</t>
  </si>
  <si>
    <t>Monofasico</t>
  </si>
  <si>
    <t>1/1</t>
  </si>
  <si>
    <t>1/1/1</t>
  </si>
  <si>
    <t>T12-G3</t>
  </si>
  <si>
    <t>Trifasico</t>
  </si>
  <si>
    <t>2/2</t>
  </si>
  <si>
    <t>S3000-G2</t>
  </si>
  <si>
    <t>1</t>
  </si>
  <si>
    <t>2/2/2/2</t>
  </si>
  <si>
    <t>2/2/2/2/2/2</t>
  </si>
  <si>
    <t>1/1/1/1</t>
  </si>
  <si>
    <t>Q1-2400-E</t>
  </si>
  <si>
    <t>T15-G3</t>
  </si>
  <si>
    <t>T25-G3</t>
  </si>
  <si>
    <t>R75</t>
  </si>
  <si>
    <t>2/2/2/2/2/2/2/2/2</t>
  </si>
  <si>
    <t>G7.5</t>
  </si>
  <si>
    <t>NEP</t>
  </si>
  <si>
    <t>SG60KTL</t>
  </si>
  <si>
    <t>SUNGROW</t>
  </si>
  <si>
    <t>14</t>
  </si>
  <si>
    <t>SG125HV</t>
  </si>
  <si>
    <t>SG110CX</t>
  </si>
  <si>
    <t>SG2K-S</t>
  </si>
  <si>
    <t>SG5K-D</t>
  </si>
  <si>
    <t>SG8K3-D</t>
  </si>
  <si>
    <t>1/2</t>
  </si>
  <si>
    <t>SG40CX</t>
  </si>
  <si>
    <t>SG25CX</t>
  </si>
  <si>
    <t>2/2/2</t>
  </si>
  <si>
    <t>SG250HX</t>
  </si>
  <si>
    <t>2/2/2/2/2/2/2/2/2/2/2/2</t>
  </si>
  <si>
    <t>SG75CX</t>
  </si>
  <si>
    <t>SG12RT</t>
  </si>
  <si>
    <t>2/1</t>
  </si>
  <si>
    <t>SG20RT</t>
  </si>
  <si>
    <t>SG3.0RS-S</t>
  </si>
  <si>
    <t>SG5.0RS</t>
  </si>
  <si>
    <t>SG8.0RS</t>
  </si>
  <si>
    <t>SG10RS</t>
  </si>
  <si>
    <t>SG25CX-P2</t>
  </si>
  <si>
    <t>SG20CX-P2-LV</t>
  </si>
  <si>
    <t>SG110CX-P2</t>
  </si>
  <si>
    <t>SG10RS-L</t>
  </si>
  <si>
    <t>SG5.0RS-L</t>
  </si>
  <si>
    <t>SG9.0RS-L</t>
  </si>
  <si>
    <t>SG4RS-L</t>
  </si>
  <si>
    <t>SG75CX-LV</t>
  </si>
  <si>
    <t>3/3/3/3/3/3/3</t>
  </si>
  <si>
    <t>SG250HX-20</t>
  </si>
  <si>
    <t>4/4/4/4/4/4</t>
  </si>
  <si>
    <t>SG7.5RS-L</t>
  </si>
  <si>
    <t>SG36KRL-M</t>
  </si>
  <si>
    <t>3/3/2</t>
  </si>
  <si>
    <t>SG50CX</t>
  </si>
  <si>
    <t>2/2/2/2/2</t>
  </si>
  <si>
    <t>SG3K-D</t>
  </si>
  <si>
    <t>SG4K-D</t>
  </si>
  <si>
    <t>SG6K-D</t>
  </si>
  <si>
    <t>SG33CX</t>
  </si>
  <si>
    <t>SG12KTL-M</t>
  </si>
  <si>
    <t>SG15RT</t>
  </si>
  <si>
    <t>SG4.0RS</t>
  </si>
  <si>
    <t>SG6.0RS</t>
  </si>
  <si>
    <t>SG9.0RS</t>
  </si>
  <si>
    <t>SG50CX-P2</t>
  </si>
  <si>
    <t>SG30CX-P2</t>
  </si>
  <si>
    <t>SG333HX</t>
  </si>
  <si>
    <t>SG15CX-P2-LV</t>
  </si>
  <si>
    <t>SG25CX-P2-LV</t>
  </si>
  <si>
    <t>SG75CX-P2</t>
  </si>
  <si>
    <t>2/2/2/2/2/2/2/2</t>
  </si>
  <si>
    <t>SG8.0RS-L</t>
  </si>
  <si>
    <t>SG3.0RS-L</t>
  </si>
  <si>
    <t>SG6.0RS-L</t>
  </si>
  <si>
    <t>SG36CX-P2</t>
  </si>
  <si>
    <t>SUN2000-250KTL-H1</t>
  </si>
  <si>
    <t>HUAWEI</t>
  </si>
  <si>
    <t>4/5/5/4/5/5</t>
  </si>
  <si>
    <t>SUN2000-100KTL-M2</t>
  </si>
  <si>
    <t>2/2/2/2/2/2/2/2/2/2</t>
  </si>
  <si>
    <t>SUN2000-75KTL-M1</t>
  </si>
  <si>
    <t>SUN2000-5KTL-L1</t>
  </si>
  <si>
    <t>SUN2000-6KTL-L1</t>
  </si>
  <si>
    <t>SUN2000-7.5K-LC0</t>
  </si>
  <si>
    <t>SUN2000-8KTL-LC0</t>
  </si>
  <si>
    <t>SUN2000-10K-LC0</t>
  </si>
  <si>
    <t>SUN2000-3KTL-L1</t>
  </si>
  <si>
    <t>MIN 6000TL-X</t>
  </si>
  <si>
    <t>GROWATT</t>
  </si>
  <si>
    <t>MIN 3000TL-X</t>
  </si>
  <si>
    <t>MIN 5000TL-X</t>
  </si>
  <si>
    <t>SPF 3500ES</t>
  </si>
  <si>
    <t>MIC 3000TL-X</t>
  </si>
  <si>
    <t>MID 15KTL3-X</t>
  </si>
  <si>
    <t>MID 25KTL3-X</t>
  </si>
  <si>
    <t>2/3</t>
  </si>
  <si>
    <t>MAX 75KTL3-LV</t>
  </si>
  <si>
    <t>2/2/2/2/2/2/2</t>
  </si>
  <si>
    <t>MAC 60KTL3-X-LV</t>
  </si>
  <si>
    <t>4/4/4</t>
  </si>
  <si>
    <t>MID 20KTL3-X</t>
  </si>
  <si>
    <t>MIC 1500TL-X</t>
  </si>
  <si>
    <t>MIC 2000TL-X</t>
  </si>
  <si>
    <t>MIN 10000TL - X</t>
  </si>
  <si>
    <t>1/1/2</t>
  </si>
  <si>
    <t>MAC 36KTL3-XL</t>
  </si>
  <si>
    <t>MAC 30KTL3-XL</t>
  </si>
  <si>
    <t>MID 15KTL3-XL</t>
  </si>
  <si>
    <t>MID 20KTL3-XL</t>
  </si>
  <si>
    <t>MAC 25KTL3-XL</t>
  </si>
  <si>
    <t>MIC 2500TL-X</t>
  </si>
  <si>
    <t>MID 36KTL3- X</t>
  </si>
  <si>
    <t>SPF 3000TL LVM-ES</t>
  </si>
  <si>
    <t>MAX 125KTL3-X LV</t>
  </si>
  <si>
    <t>MAX 100KTL3-X LV</t>
  </si>
  <si>
    <t>NEO 2000M - X</t>
  </si>
  <si>
    <t>MID 25KTL3-X2</t>
  </si>
  <si>
    <t>MID 20KTL3-X2</t>
  </si>
  <si>
    <t>MIN 10000TL-X2</t>
  </si>
  <si>
    <t>MIN 8000TL-X2</t>
  </si>
  <si>
    <t>MIN 6000TL-X2</t>
  </si>
  <si>
    <t>MIN 5000TL-X2</t>
  </si>
  <si>
    <t>MIC 3000TL-X2</t>
  </si>
  <si>
    <t>MID 36KTL3-X2</t>
  </si>
  <si>
    <t>MOD 15KTL3-X2</t>
  </si>
  <si>
    <t>MAX 125KTL3-X2 LV</t>
  </si>
  <si>
    <t>MIN 7500TL-X2</t>
  </si>
  <si>
    <t>S5-GR3P20K</t>
  </si>
  <si>
    <t>SOLIS</t>
  </si>
  <si>
    <t>S5-GC30K</t>
  </si>
  <si>
    <t>S5-GC25K</t>
  </si>
  <si>
    <t>S6-GR1P3K-M</t>
  </si>
  <si>
    <t>S6-GR1P5K-S</t>
  </si>
  <si>
    <t>S6-GR1P7.5K2</t>
  </si>
  <si>
    <t>S5-GC40K</t>
  </si>
  <si>
    <t>S5-GC25K-LV</t>
  </si>
  <si>
    <t>S5-GR3P15K</t>
  </si>
  <si>
    <t>S6-GC75K-LV</t>
  </si>
  <si>
    <t>S6-GC50K-LV</t>
  </si>
  <si>
    <t>S5-GC20K-LV</t>
  </si>
  <si>
    <t>S6-GR1P10K03-NV-ND</t>
  </si>
  <si>
    <t>250K-EHV-5G-PLUS</t>
  </si>
  <si>
    <t>S6-GC100K</t>
  </si>
  <si>
    <t>75K-5G-PRO</t>
  </si>
  <si>
    <t>S6-GR1P9K03-NV-ND</t>
  </si>
  <si>
    <t>110K-5G-PRO</t>
  </si>
  <si>
    <t>100K-5G-PRO</t>
  </si>
  <si>
    <t>S5-GC60K</t>
  </si>
  <si>
    <t>S5-GC37.5K</t>
  </si>
  <si>
    <t>S5-GC37.5K-LV</t>
  </si>
  <si>
    <t>S6-GR1P4K-S</t>
  </si>
  <si>
    <t>S6-GR1P6K-S</t>
  </si>
  <si>
    <t>S6-GR1P8K2</t>
  </si>
  <si>
    <t>S5-GC50K</t>
  </si>
  <si>
    <t>S5-GC30K-LV</t>
  </si>
  <si>
    <t>S6-GR1P7K2</t>
  </si>
  <si>
    <t>S6-GC60K-LV</t>
  </si>
  <si>
    <t>S5-GC15K-LV</t>
  </si>
  <si>
    <t>S6-GR1P7K02-NV-YD-HC</t>
  </si>
  <si>
    <t>S6-GC110K</t>
  </si>
  <si>
    <t>GM241kWh125kW-H</t>
  </si>
  <si>
    <t>DAH</t>
  </si>
  <si>
    <t>DAS</t>
  </si>
  <si>
    <t>DMEGC</t>
  </si>
  <si>
    <t>HUANSHENG</t>
  </si>
  <si>
    <t>JA</t>
  </si>
  <si>
    <t>MAXEON</t>
  </si>
  <si>
    <t>TCL</t>
  </si>
  <si>
    <t>CHSM66RN(DG)F-BH 600</t>
  </si>
  <si>
    <t>CHSM72N(DG)/F-BH-580</t>
  </si>
  <si>
    <t>PAINEL SOLAR BYD 335W P</t>
  </si>
  <si>
    <t>335P6K-36-5BB</t>
  </si>
  <si>
    <t>BYD575HRP72S</t>
  </si>
  <si>
    <t>BYD600TUI66T</t>
  </si>
  <si>
    <t>BYD-530W-MLK-36</t>
  </si>
  <si>
    <t>CS6,2-66TB-615W</t>
  </si>
  <si>
    <t>CS6,2-66TB-610W</t>
  </si>
  <si>
    <t>575W - DH144NA</t>
  </si>
  <si>
    <t>DAS-DH132NE-605W</t>
  </si>
  <si>
    <t>DAS-DH132NE-610W</t>
  </si>
  <si>
    <t>DM605M10RT-B72HSW</t>
  </si>
  <si>
    <t>DM610G12RT-B66HSW</t>
  </si>
  <si>
    <t>ESPHSC 545WP</t>
  </si>
  <si>
    <t>PRO-72HC575M</t>
  </si>
  <si>
    <t>ERA54HC410M</t>
  </si>
  <si>
    <t>ERA-PRO-72HC570WP</t>
  </si>
  <si>
    <t>ERA-RA54HD(BK)450M</t>
  </si>
  <si>
    <t>HSM-TH545-WKF-U</t>
  </si>
  <si>
    <t>HSM-TD555-WKF G12</t>
  </si>
  <si>
    <t>JAM72S30-540/MR</t>
  </si>
  <si>
    <t>JAM72S30-550/MR</t>
  </si>
  <si>
    <t>JAM72D30-540/MB</t>
  </si>
  <si>
    <t>JAM72D30-545/MB</t>
  </si>
  <si>
    <t>JAM72D40-575/MB</t>
  </si>
  <si>
    <t>JAM66D45-610/LB</t>
  </si>
  <si>
    <t>JAM72D40-585/MB</t>
  </si>
  <si>
    <t>JAM66D46-700/LB</t>
  </si>
  <si>
    <t>JAM66D45-600/LB</t>
  </si>
  <si>
    <t>JAM66D45-615/LB</t>
  </si>
  <si>
    <t>JKM565N-72HL4-V</t>
  </si>
  <si>
    <t>JKM600N-72HL4-BDV</t>
  </si>
  <si>
    <t>JKM625N-66HL4M-BDV</t>
  </si>
  <si>
    <t>JKM615N-66HL4M-BDV</t>
  </si>
  <si>
    <t>JKM580N-72HL4-BDV</t>
  </si>
  <si>
    <t>JKM620N-66HL4M-BDV</t>
  </si>
  <si>
    <t>JKM635N-66HL4M-BDV</t>
  </si>
  <si>
    <t>JKM640N-66HL4M-BDV</t>
  </si>
  <si>
    <t>JKM725N-66HL5-BDV</t>
  </si>
  <si>
    <t>LP182-210-M-66-NH-610</t>
  </si>
  <si>
    <t>LP182-210-M-66-NB-620</t>
  </si>
  <si>
    <t>LR4 72HBD 450W</t>
  </si>
  <si>
    <t>LR7-72HTH-630M</t>
  </si>
  <si>
    <t>LR7-72HTH-625M</t>
  </si>
  <si>
    <t>LR7-72HTH-620M</t>
  </si>
  <si>
    <t>LR5-72HTH-580M</t>
  </si>
  <si>
    <t>LR7-72HVH-640M</t>
  </si>
  <si>
    <t>LR7-72HVH-635M</t>
  </si>
  <si>
    <t>LR7-72HTH-615M</t>
  </si>
  <si>
    <t>LR7-72HTH-605M</t>
  </si>
  <si>
    <t>LR7-72HTH-610M</t>
  </si>
  <si>
    <t>LR7-72HVH-645M</t>
  </si>
  <si>
    <t>SPR-P6-545-UPP</t>
  </si>
  <si>
    <t>ODA610-33V-MHRZ</t>
  </si>
  <si>
    <t>ODA710-33V-MHD</t>
  </si>
  <si>
    <t>RSM132-8-695HDG</t>
  </si>
  <si>
    <t>RSM132-8-700HDG</t>
  </si>
  <si>
    <t>RM620W-182R/132TB</t>
  </si>
  <si>
    <t>S8-144NT - 585</t>
  </si>
  <si>
    <t>HSM-ND66-GR610 G12R-66P</t>
  </si>
  <si>
    <t>HSM-ND66-GR615 G12R-66P</t>
  </si>
  <si>
    <t>HSM-ND66-GR620</t>
  </si>
  <si>
    <t>TSM-DE19R - 575</t>
  </si>
  <si>
    <t>TSM-DEG21C,20 - 660</t>
  </si>
  <si>
    <t>TSM-NEG21C,20 - 710</t>
  </si>
  <si>
    <t xml:space="preserve">BIFACIAL </t>
  </si>
  <si>
    <t>MONOCRISTALINO</t>
  </si>
  <si>
    <t>SUN-7.5K-SG05LP1-EU-SM2</t>
  </si>
  <si>
    <t>SUN-7.5K-SG05LP2-US-SM2</t>
  </si>
  <si>
    <t>SUN-3.6K-OG01LP1-EU-AM2</t>
  </si>
  <si>
    <t>IQ7AM-72-2-US</t>
  </si>
  <si>
    <t>IQ8P-72-2-BR</t>
  </si>
  <si>
    <t>P100-5-H</t>
  </si>
  <si>
    <t xml:space="preserve"> KH7.5</t>
  </si>
  <si>
    <t>HMS-2250DW-4T</t>
  </si>
  <si>
    <t>HYS-7.5LV-USG1</t>
  </si>
  <si>
    <t>ASW7500-S-L</t>
  </si>
  <si>
    <t>ASW7500-S</t>
  </si>
  <si>
    <t>F5000-G2</t>
  </si>
  <si>
    <t>G8</t>
  </si>
  <si>
    <t>G10.5</t>
  </si>
  <si>
    <t>F6000-G2</t>
  </si>
  <si>
    <t>T20-G3</t>
  </si>
  <si>
    <t>M1-1000</t>
  </si>
  <si>
    <t>G9</t>
  </si>
  <si>
    <t>G10</t>
  </si>
  <si>
    <t>VL37.5</t>
  </si>
  <si>
    <t>VL30</t>
  </si>
  <si>
    <t>VL25</t>
  </si>
  <si>
    <t>VL20</t>
  </si>
  <si>
    <t>VL15</t>
  </si>
  <si>
    <t>R100</t>
  </si>
  <si>
    <t>V75</t>
  </si>
  <si>
    <t>V60</t>
  </si>
  <si>
    <t>V50</t>
  </si>
  <si>
    <t>KH10.5</t>
  </si>
  <si>
    <t>H1-5.0-E-G2-WL</t>
  </si>
  <si>
    <t>H3-PRO-30.0</t>
  </si>
  <si>
    <t>H1-7.5-US</t>
  </si>
  <si>
    <t>H3-PRO-20.0</t>
  </si>
  <si>
    <t>MIN 8000TL-X(E)</t>
  </si>
  <si>
    <t>MAX 75KTL3-XL2</t>
  </si>
  <si>
    <t>MAX 60KTL3-XL2</t>
  </si>
  <si>
    <t>MAX 50KTL3-XL2</t>
  </si>
  <si>
    <t>MAX250KTL3-XHV</t>
  </si>
  <si>
    <t>SPF 5000ES</t>
  </si>
  <si>
    <t>SPH 10000TL-HU</t>
  </si>
  <si>
    <t>MAX 73KTL3-XL2</t>
  </si>
  <si>
    <t>MID 25KTL3-XL2</t>
  </si>
  <si>
    <t>MID 20KTL3-XL2</t>
  </si>
  <si>
    <t>MID 15KTL3-XL2</t>
  </si>
  <si>
    <t>SPH 10000TL-HU-US</t>
  </si>
  <si>
    <t>NEO 2250M-X2</t>
  </si>
  <si>
    <t>NEO 2500M-X2</t>
  </si>
  <si>
    <t>MID 40KTL3-X2</t>
  </si>
  <si>
    <t>MAC 30KTL3-XL2</t>
  </si>
  <si>
    <t>MAC 36KTL3-XL2</t>
  </si>
  <si>
    <t>MAC 60KTL3-X2LV</t>
  </si>
  <si>
    <t>SUN2000-15K-MB0</t>
  </si>
  <si>
    <t>SUN2000-20K-MB0</t>
  </si>
  <si>
    <t>SUN2000-20KTL-BRM3</t>
  </si>
  <si>
    <t>SUN2000-25K-MB0</t>
  </si>
  <si>
    <t>SUN2000-30KTL-BRM3</t>
  </si>
  <si>
    <t>SUN2000-40KTL-BRM3</t>
  </si>
  <si>
    <t>SUN2000-50K-MGL0-BR</t>
  </si>
  <si>
    <t>SUN2000-50KTL-BRM3</t>
  </si>
  <si>
    <t>SUN2000-75K-MGL0-BR</t>
  </si>
  <si>
    <t>SUN2000-4KTL-L1</t>
  </si>
  <si>
    <t>GT3-25KD1</t>
  </si>
  <si>
    <t>GT1-7K5T2</t>
  </si>
  <si>
    <t>GT1-6KD2</t>
  </si>
  <si>
    <t>GT3-15KD1</t>
  </si>
  <si>
    <t>GT1-10KT2</t>
  </si>
  <si>
    <t>BDM 2250M</t>
  </si>
  <si>
    <t xml:space="preserve"> 75K-5G</t>
  </si>
  <si>
    <t>125K1-EHV-5G</t>
  </si>
  <si>
    <t xml:space="preserve">S6-GR1P8K02-NV-YD-HC </t>
  </si>
  <si>
    <t>S6-EH3P37.5K-H</t>
  </si>
  <si>
    <t>S6-EH2P7.5K02-SV-YD-L</t>
  </si>
  <si>
    <t>S6-EH1P5K-L-PLUS</t>
  </si>
  <si>
    <t>SG40CX-P2</t>
  </si>
  <si>
    <t>SG20RT-P2</t>
  </si>
  <si>
    <t>SG15RT-P2</t>
  </si>
  <si>
    <t>SG12RT-P2</t>
  </si>
  <si>
    <t>DEYE</t>
  </si>
  <si>
    <t>ENPHASE</t>
  </si>
  <si>
    <t>HOYMILES</t>
  </si>
  <si>
    <t>SOLPLANET</t>
  </si>
  <si>
    <t>LIVOLTEK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</si>
</sst>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2" tint="-0.89999084444715716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</borders>
  <cellStyleXfs count="4">
    <xf numFmtId="0" fontId="0" fillId="0" borderId="0"/>
    <xf numFmtId="0" fontId="1" fillId="0" borderId="0"/>
    <xf numFmtId="43" fontId="1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3" fillId="2" borderId="0" xfId="0" applyFont="1" applyFill="1"/>
    <xf numFmtId="49" fontId="6" fillId="2" borderId="1" xfId="1" applyNumberFormat="1" applyFont="1" applyFill="1" applyBorder="1" applyAlignment="1">
      <alignment horizontal="center"/>
    </xf>
    <xf numFmtId="0" fontId="0" fillId="4" borderId="0" xfId="1" applyFont="1" applyFill="1"/>
    <xf numFmtId="0" fontId="7" fillId="4" borderId="0" xfId="1" applyFont="1" applyFill="1"/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/>
    </xf>
    <xf numFmtId="0" fontId="0" fillId="4" borderId="0" xfId="1" applyFont="1" applyFill="1" applyAlignment="1">
      <alignment horizontal="center"/>
    </xf>
    <xf numFmtId="0" fontId="0" fillId="4" borderId="0" xfId="1" applyFont="1" applyFill="1" applyAlignment="1">
      <alignment horizontal="center" vertical="center"/>
    </xf>
    <xf numFmtId="0" fontId="0" fillId="2" borderId="0" xfId="1" applyFont="1" applyFill="1"/>
    <xf numFmtId="0" fontId="5" fillId="2" borderId="1" xfId="1" applyFont="1" applyFill="1" applyBorder="1" applyAlignment="1">
      <alignment horizontal="center"/>
    </xf>
    <xf numFmtId="0" fontId="9" fillId="4" borderId="0" xfId="1" applyFont="1" applyFill="1"/>
    <xf numFmtId="0" fontId="9" fillId="4" borderId="0" xfId="1" applyFont="1" applyFill="1" applyAlignment="1">
      <alignment horizontal="center"/>
    </xf>
    <xf numFmtId="0" fontId="10" fillId="2" borderId="0" xfId="1" applyFont="1" applyFill="1"/>
    <xf numFmtId="0" fontId="6" fillId="2" borderId="0" xfId="1" applyFont="1" applyFill="1"/>
    <xf numFmtId="0" fontId="8" fillId="2" borderId="0" xfId="1" applyFont="1" applyFill="1"/>
    <xf numFmtId="0" fontId="1" fillId="4" borderId="0" xfId="1" applyFill="1"/>
    <xf numFmtId="0" fontId="4" fillId="2" borderId="0" xfId="0" applyFont="1" applyFill="1" applyAlignment="1">
      <alignment vertical="center"/>
    </xf>
    <xf numFmtId="0" fontId="2" fillId="3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164" fontId="6" fillId="7" borderId="1" xfId="2" applyNumberFormat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/>
    </xf>
    <xf numFmtId="49" fontId="6" fillId="7" borderId="1" xfId="1" applyNumberFormat="1" applyFont="1" applyFill="1" applyBorder="1" applyAlignment="1">
      <alignment horizontal="center"/>
    </xf>
    <xf numFmtId="1" fontId="6" fillId="2" borderId="1" xfId="2" applyNumberFormat="1" applyFont="1" applyFill="1" applyBorder="1" applyAlignment="1">
      <alignment horizontal="center" vertical="center"/>
    </xf>
    <xf numFmtId="2" fontId="6" fillId="2" borderId="1" xfId="2" applyNumberFormat="1" applyFont="1" applyFill="1" applyBorder="1" applyAlignment="1">
      <alignment horizontal="center" vertical="center"/>
    </xf>
    <xf numFmtId="1" fontId="6" fillId="7" borderId="1" xfId="2" applyNumberFormat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6" fillId="7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0" fontId="5" fillId="7" borderId="1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 vertical="center"/>
    </xf>
    <xf numFmtId="2" fontId="6" fillId="7" borderId="1" xfId="2" applyNumberFormat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/>
    </xf>
    <xf numFmtId="0" fontId="0" fillId="2" borderId="0" xfId="1" applyFont="1" applyFill="1"/>
    <xf numFmtId="0" fontId="6" fillId="8" borderId="3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0" fillId="2" borderId="1" xfId="0" applyFill="1" applyBorder="1" applyProtection="1"/>
    <xf numFmtId="0" fontId="6" fillId="8" borderId="3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/>
    </xf>
    <xf numFmtId="2" fontId="6" fillId="8" borderId="3" xfId="0" applyNumberFormat="1" applyFont="1" applyFill="1" applyBorder="1" applyAlignment="1">
      <alignment horizontal="center"/>
    </xf>
    <xf numFmtId="2" fontId="6" fillId="8" borderId="1" xfId="0" applyNumberFormat="1" applyFont="1" applyFill="1" applyBorder="1" applyAlignment="1">
      <alignment horizontal="center"/>
    </xf>
    <xf numFmtId="2" fontId="11" fillId="8" borderId="1" xfId="0" applyNumberFormat="1" applyFont="1" applyFill="1" applyBorder="1" applyAlignment="1">
      <alignment horizontal="center"/>
    </xf>
    <xf numFmtId="2" fontId="6" fillId="8" borderId="4" xfId="0" applyNumberFormat="1" applyFont="1" applyFill="1" applyBorder="1" applyAlignment="1">
      <alignment horizontal="center"/>
    </xf>
    <xf numFmtId="2" fontId="11" fillId="8" borderId="4" xfId="0" applyNumberFormat="1" applyFont="1" applyFill="1" applyBorder="1" applyAlignment="1">
      <alignment horizontal="center"/>
    </xf>
    <xf numFmtId="10" fontId="6" fillId="8" borderId="3" xfId="3" applyNumberFormat="1" applyFont="1" applyFill="1" applyBorder="1" applyAlignment="1">
      <alignment horizontal="center"/>
    </xf>
    <xf numFmtId="10" fontId="6" fillId="8" borderId="1" xfId="0" applyNumberFormat="1" applyFont="1" applyFill="1" applyBorder="1" applyAlignment="1">
      <alignment horizontal="center"/>
    </xf>
    <xf numFmtId="10" fontId="6" fillId="8" borderId="1" xfId="3" applyNumberFormat="1" applyFont="1" applyFill="1" applyBorder="1" applyAlignment="1">
      <alignment horizontal="center"/>
    </xf>
    <xf numFmtId="10" fontId="6" fillId="8" borderId="4" xfId="3" applyNumberFormat="1" applyFont="1" applyFill="1" applyBorder="1" applyAlignment="1">
      <alignment horizontal="center"/>
    </xf>
    <xf numFmtId="0" fontId="6" fillId="7" borderId="3" xfId="0" applyFont="1" applyFill="1" applyBorder="1" applyAlignment="1" applyProtection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6" fillId="7" borderId="1" xfId="1" applyFont="1" applyFill="1" applyBorder="1" applyAlignment="1" applyProtection="1">
      <alignment horizontal="center" vertical="center"/>
    </xf>
    <xf numFmtId="0" fontId="0" fillId="7" borderId="1" xfId="1" applyFont="1" applyFill="1" applyBorder="1" applyProtection="1"/>
    <xf numFmtId="0" fontId="0" fillId="7" borderId="1" xfId="1" applyFont="1" applyFill="1" applyBorder="1" applyAlignment="1" applyProtection="1">
      <alignment horizontal="center"/>
    </xf>
    <xf numFmtId="0" fontId="1" fillId="7" borderId="1" xfId="1" applyFill="1" applyBorder="1" applyProtection="1"/>
    <xf numFmtId="0" fontId="6" fillId="8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8" borderId="3" xfId="0" applyFont="1" applyFill="1" applyBorder="1" applyAlignment="1" applyProtection="1">
      <alignment horizontal="center" vertical="center"/>
    </xf>
    <xf numFmtId="0" fontId="6" fillId="7" borderId="3" xfId="0" applyFont="1" applyFill="1" applyBorder="1" applyProtection="1"/>
    <xf numFmtId="0" fontId="6" fillId="8" borderId="3" xfId="0" applyFont="1" applyFill="1" applyBorder="1" applyAlignment="1" applyProtection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7" borderId="3" xfId="1" applyFont="1" applyFill="1" applyBorder="1" applyProtection="1"/>
    <xf numFmtId="0" fontId="6" fillId="7" borderId="3" xfId="1" applyFont="1" applyFill="1" applyBorder="1" applyAlignment="1" applyProtection="1">
      <alignment horizontal="center"/>
    </xf>
  </cellXfs>
  <cellStyles count="4">
    <cellStyle name="Normal" xfId="0" builtinId="0"/>
    <cellStyle name="Normal 2" xfId="1" xr:uid="{00000000-0005-0000-0000-000001000000}"/>
    <cellStyle name="Porcentagem" xfId="3" builtinId="5"/>
    <cellStyle name="Vírgula 2" xfId="2" xr:uid="{00000000-0005-0000-0000-000002000000}"/>
  </cellStyles>
  <dxfs count="46">
    <dxf>
      <font>
        <color auto="1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ill>
        <patternFill patternType="solid">
          <bgColor theme="2" tint="-9.9978637043366805E-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bgColor theme="2" tint="-9.9978637043366805E-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bgColor theme="2" tint="-9.9978637043366805E-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bgColor theme="2" tint="-9.9978637043366805E-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ill>
        <patternFill patternType="solid">
          <bgColor theme="2" tint="-9.9978637043366805E-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color auto="1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color auto="1"/>
      </font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color auto="1"/>
      </font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color auto="1"/>
      </font>
      <numFmt numFmtId="14" formatCode="0.00%"/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color auto="1"/>
      </font>
      <numFmt numFmtId="2" formatCode="0.00"/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color auto="1"/>
      </font>
      <numFmt numFmtId="2" formatCode="0.00"/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color auto="1"/>
      </font>
      <numFmt numFmtId="2" formatCode="0.00"/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color auto="1"/>
      </font>
      <numFmt numFmtId="2" formatCode="0.00"/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color auto="1"/>
      </font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color auto="1"/>
      </font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color auto="1"/>
      </font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bgColor theme="2" tint="-9.9978637043366805E-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bgColor theme="2" tint="-9.9978637043366805E-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bgColor theme="2" tint="-9.9978637043366805E-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bgColor theme="2" tint="-9.9978637043366805E-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bgColor theme="2" tint="-9.9978637043366805E-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bgColor theme="0"/>
        </patternFill>
      </fill>
    </dxf>
    <dxf>
      <border outline="0">
        <left style="thin">
          <color indexed="64"/>
        </left>
        <bottom style="thin">
          <color indexed="64"/>
        </bottom>
      </border>
    </dxf>
    <dxf>
      <fill>
        <patternFill patternType="solid">
          <bgColor theme="2" tint="-9.9978637043366805E-2"/>
        </patternFill>
      </fill>
      <protection locked="1" hidden="0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ill>
        <patternFill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outline="0"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protection locked="1" hidden="0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3:Q220" totalsRowShown="0" headerRowDxfId="37" dataDxfId="35" totalsRowDxfId="33" headerRowBorderDxfId="36" tableBorderDxfId="34">
  <tableColumns count="16">
    <tableColumn id="1" xr3:uid="{00000000-0010-0000-0000-000001000000}" name="MODELO" dataDxfId="10"/>
    <tableColumn id="2" xr3:uid="{00000000-0010-0000-0000-000002000000}" name="FABRICANTE" dataDxfId="9"/>
    <tableColumn id="3" xr3:uid="{00000000-0010-0000-0000-000003000000}" name="MAX. POT. ENTRADA (KWP)" dataDxfId="0" totalsRowDxfId="32"/>
    <tableColumn id="4" xr3:uid="{00000000-0010-0000-0000-000004000000}" name="Nº ENTRADAS INVERSOR" dataDxfId="1"/>
    <tableColumn id="5" xr3:uid="{00000000-0010-0000-0000-000005000000}" name="Nº MPPTS" dataDxfId="6"/>
    <tableColumn id="6" xr3:uid="{00000000-0010-0000-0000-000006000000}" name="MAX. POT. SAÍDA (KW)" dataDxfId="8"/>
    <tableColumn id="7" xr3:uid="{00000000-0010-0000-0000-000007000000}" name="TENSÃO SAÍDA (V)" dataDxfId="31" totalsRowDxfId="30"/>
    <tableColumn id="8" xr3:uid="{00000000-0010-0000-0000-000008000000}" name="FASES" dataDxfId="29" totalsRowDxfId="28"/>
    <tableColumn id="9" xr3:uid="{00000000-0010-0000-0000-000009000000}" name="TENSÃO MÁX. ENTRADA (V)" dataDxfId="4"/>
    <tableColumn id="10" xr3:uid="{00000000-0010-0000-0000-00000A000000}" name="TENSÃO MÁX. MPP (V)" dataDxfId="5" totalsRowDxfId="27"/>
    <tableColumn id="11" xr3:uid="{00000000-0010-0000-0000-00000B000000}" name="TENSÃO MÍN PARTIDA. (V)" dataDxfId="7"/>
    <tableColumn id="12" xr3:uid="{00000000-0010-0000-0000-00000C000000}" name="CORRENTE MÁX. ENTRADA FV (A)" dataDxfId="2"/>
    <tableColumn id="13" xr3:uid="{00000000-0010-0000-0000-00000D000000}" name="CORRENTE MÁX. SAÍDA (A)" dataDxfId="26" totalsRowDxfId="25"/>
    <tableColumn id="14" xr3:uid="{00000000-0010-0000-0000-00000E000000}" name="CORRENTE MÁX. CURTO (A)" dataDxfId="3"/>
    <tableColumn id="15" xr3:uid="{00000000-0010-0000-0000-00000F000000}" name="PESO BRUTO (KG)" dataDxfId="24" totalsRowDxfId="23"/>
    <tableColumn id="16" xr3:uid="{00000000-0010-0000-0000-000010000000}" name="CONFIGURAÇÃO MPPTs" dataDxfId="22" totalsRowDxfId="2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4" displayName="Tabela4" ref="A1:N120" totalsRowShown="0" headerRowDxfId="45" dataDxfId="43" headerRowBorderDxfId="44" tableBorderDxfId="42">
  <tableColumns count="14">
    <tableColumn id="1" xr3:uid="{00000000-0010-0000-0100-000001000000}" name="MODELO" dataDxfId="19"/>
    <tableColumn id="2" xr3:uid="{00000000-0010-0000-0100-000002000000}" name="FABRICANTE" dataDxfId="20"/>
    <tableColumn id="21" xr3:uid="{00000000-0010-0000-0100-000015000000}" name="POTÊNCIA (KWP)" dataDxfId="41"/>
    <tableColumn id="22" xr3:uid="{00000000-0010-0000-0100-000016000000}" name="TIPO CÉLULA" dataDxfId="40"/>
    <tableColumn id="23" xr3:uid="{00000000-0010-0000-0100-000017000000}" name="TENSÃO ABERTO (Voc)" dataDxfId="17"/>
    <tableColumn id="24" xr3:uid="{00000000-0010-0000-0100-000018000000}" name="TENSÃO OP. STC (Vmp)" dataDxfId="16"/>
    <tableColumn id="25" xr3:uid="{00000000-0010-0000-0100-000019000000}" name="CORRENTE (A)" dataDxfId="14"/>
    <tableColumn id="26" xr3:uid="{00000000-0010-0000-0100-00001A000000}" name="CORRENTE CURTO (A)" dataDxfId="15"/>
    <tableColumn id="27" xr3:uid="{00000000-0010-0000-0100-00001B000000}" name="EFICIÊNCIA (%)" dataDxfId="13" dataCellStyle="Porcentagem"/>
    <tableColumn id="28" xr3:uid="{00000000-0010-0000-0100-00001C000000}" name="COEF. TEMP. CORR. CURTO (%/°C)" dataDxfId="12"/>
    <tableColumn id="29" xr3:uid="{00000000-0010-0000-0100-00001D000000}" name="COEF. TEMP. TENSÃO ABERTO (%/°C)" dataDxfId="11"/>
    <tableColumn id="30" xr3:uid="{00000000-0010-0000-0100-00001E000000}" name="COEF. TEMP. POT. DE PICO (%/°C)" dataDxfId="39"/>
    <tableColumn id="31" xr3:uid="{00000000-0010-0000-0100-00001F000000}" name="PESO (KG)" dataDxfId="38"/>
    <tableColumn id="32" xr3:uid="{00000000-0010-0000-0100-000020000000}" name="MONO/BIFACIAL" dataDxfId="18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ersonalizada 14">
      <a:dk1>
        <a:srgbClr val="FFFFFF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3"/>
  <dimension ref="A1:Q330"/>
  <sheetViews>
    <sheetView tabSelected="1" zoomScale="85" zoomScaleNormal="85" workbookViewId="0">
      <selection activeCell="B220" sqref="B220:Q220"/>
    </sheetView>
  </sheetViews>
  <sheetFormatPr defaultColWidth="9.109375" defaultRowHeight="14.4" x14ac:dyDescent="0.3"/>
  <cols>
    <col min="1" max="1" width="2.88671875" style="3" customWidth="1"/>
    <col min="2" max="2" width="47" style="3" bestFit="1" customWidth="1"/>
    <col min="3" max="3" width="16.6640625" style="8" bestFit="1" customWidth="1"/>
    <col min="4" max="4" width="24.6640625" style="3" bestFit="1" customWidth="1"/>
    <col min="5" max="5" width="30.5546875" style="7" bestFit="1" customWidth="1"/>
    <col min="6" max="6" width="20.33203125" style="3" bestFit="1" customWidth="1"/>
    <col min="7" max="7" width="20.88671875" style="3" bestFit="1" customWidth="1"/>
    <col min="8" max="8" width="16.6640625" style="3" bestFit="1" customWidth="1"/>
    <col min="9" max="9" width="19.5546875" style="3" bestFit="1" customWidth="1"/>
    <col min="10" max="10" width="24.88671875" style="3" bestFit="1" customWidth="1"/>
    <col min="11" max="11" width="30.33203125" style="3" bestFit="1" customWidth="1"/>
    <col min="12" max="12" width="24.109375" style="3" customWidth="1"/>
    <col min="13" max="13" width="18.109375" style="7" customWidth="1"/>
    <col min="14" max="14" width="15.33203125" style="7" customWidth="1"/>
    <col min="15" max="15" width="20.88671875" style="3" customWidth="1"/>
    <col min="16" max="16" width="24" style="3" bestFit="1" customWidth="1"/>
    <col min="17" max="17" width="27" style="3" bestFit="1" customWidth="1"/>
    <col min="18" max="19" width="9.109375" style="3" customWidth="1"/>
    <col min="20" max="16384" width="9.109375" style="3"/>
  </cols>
  <sheetData>
    <row r="1" spans="1:17" s="1" customFormat="1" ht="15" customHeight="1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s="9" customFormat="1" x14ac:dyDescent="0.3">
      <c r="B2" s="45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spans="1:17" s="4" customFormat="1" ht="25.5" customHeight="1" x14ac:dyDescent="0.3">
      <c r="B3" s="28" t="s">
        <v>0</v>
      </c>
      <c r="C3" s="28" t="s">
        <v>1</v>
      </c>
      <c r="D3" s="28" t="s">
        <v>82</v>
      </c>
      <c r="E3" s="28" t="s">
        <v>83</v>
      </c>
      <c r="F3" s="28" t="s">
        <v>84</v>
      </c>
      <c r="G3" s="28" t="s">
        <v>85</v>
      </c>
      <c r="H3" s="28" t="s">
        <v>86</v>
      </c>
      <c r="I3" s="28" t="s">
        <v>87</v>
      </c>
      <c r="J3" s="28" t="s">
        <v>88</v>
      </c>
      <c r="K3" s="28" t="s">
        <v>89</v>
      </c>
      <c r="L3" s="28" t="s">
        <v>90</v>
      </c>
      <c r="M3" s="28" t="s">
        <v>91</v>
      </c>
      <c r="N3" s="28" t="s">
        <v>92</v>
      </c>
      <c r="O3" s="28" t="s">
        <v>93</v>
      </c>
      <c r="P3" s="28" t="s">
        <v>94</v>
      </c>
      <c r="Q3" s="28" t="s">
        <v>95</v>
      </c>
    </row>
    <row r="4" spans="1:17" x14ac:dyDescent="0.3">
      <c r="A4" s="9"/>
      <c r="B4" s="31" t="s">
        <v>334</v>
      </c>
      <c r="C4" s="21" t="s">
        <v>411</v>
      </c>
      <c r="D4" s="63">
        <v>7500</v>
      </c>
      <c r="E4" s="21">
        <v>4</v>
      </c>
      <c r="F4" s="63">
        <v>2</v>
      </c>
      <c r="G4" s="70">
        <v>16000</v>
      </c>
      <c r="H4" s="21">
        <v>220</v>
      </c>
      <c r="I4" s="21" t="s">
        <v>97</v>
      </c>
      <c r="J4" s="21">
        <v>425</v>
      </c>
      <c r="K4" s="63">
        <v>500</v>
      </c>
      <c r="L4" s="21">
        <v>125</v>
      </c>
      <c r="M4" s="22">
        <v>4</v>
      </c>
      <c r="N4" s="22">
        <v>23.9</v>
      </c>
      <c r="O4" s="23">
        <v>34</v>
      </c>
      <c r="P4" s="23">
        <v>14.8</v>
      </c>
      <c r="Q4" s="24" t="s">
        <v>98</v>
      </c>
    </row>
    <row r="5" spans="1:17" s="9" customFormat="1" x14ac:dyDescent="0.3">
      <c r="B5" s="32" t="s">
        <v>335</v>
      </c>
      <c r="C5" s="5" t="s">
        <v>411</v>
      </c>
      <c r="D5" s="63">
        <v>7500</v>
      </c>
      <c r="E5" s="6">
        <v>4</v>
      </c>
      <c r="F5" s="63">
        <v>2</v>
      </c>
      <c r="G5" s="70">
        <v>12800</v>
      </c>
      <c r="H5" s="6">
        <v>220</v>
      </c>
      <c r="I5" s="6" t="s">
        <v>97</v>
      </c>
      <c r="J5" s="6">
        <v>425</v>
      </c>
      <c r="K5" s="63">
        <v>500</v>
      </c>
      <c r="L5" s="6">
        <v>125</v>
      </c>
      <c r="M5" s="6">
        <v>4</v>
      </c>
      <c r="N5" s="6">
        <v>47.7</v>
      </c>
      <c r="O5" s="6">
        <v>30</v>
      </c>
      <c r="P5" s="6">
        <v>19</v>
      </c>
      <c r="Q5" s="2" t="s">
        <v>99</v>
      </c>
    </row>
    <row r="6" spans="1:17" x14ac:dyDescent="0.3">
      <c r="A6" s="9"/>
      <c r="B6" s="31" t="s">
        <v>336</v>
      </c>
      <c r="C6" s="21" t="s">
        <v>411</v>
      </c>
      <c r="D6" s="63">
        <v>3600</v>
      </c>
      <c r="E6" s="21">
        <v>2</v>
      </c>
      <c r="F6" s="63">
        <v>2</v>
      </c>
      <c r="G6" s="70">
        <v>7200</v>
      </c>
      <c r="H6" s="21">
        <v>380</v>
      </c>
      <c r="I6" s="21" t="s">
        <v>101</v>
      </c>
      <c r="J6" s="21">
        <v>425</v>
      </c>
      <c r="K6" s="63">
        <v>500</v>
      </c>
      <c r="L6" s="21">
        <v>125</v>
      </c>
      <c r="M6" s="22">
        <v>2</v>
      </c>
      <c r="N6" s="22">
        <v>19.100000000000001</v>
      </c>
      <c r="O6" s="23">
        <v>27</v>
      </c>
      <c r="P6" s="23">
        <v>17</v>
      </c>
      <c r="Q6" s="24" t="s">
        <v>98</v>
      </c>
    </row>
    <row r="7" spans="1:17" s="9" customFormat="1" x14ac:dyDescent="0.3">
      <c r="B7" s="32" t="s">
        <v>337</v>
      </c>
      <c r="C7" s="5" t="s">
        <v>412</v>
      </c>
      <c r="D7" s="63">
        <v>335</v>
      </c>
      <c r="E7" s="6">
        <v>1</v>
      </c>
      <c r="F7" s="63">
        <v>1</v>
      </c>
      <c r="G7" s="70">
        <v>550000</v>
      </c>
      <c r="H7" s="6">
        <v>380</v>
      </c>
      <c r="I7" s="6" t="s">
        <v>101</v>
      </c>
      <c r="J7" s="6">
        <v>58</v>
      </c>
      <c r="K7" s="63">
        <v>58</v>
      </c>
      <c r="L7" s="6">
        <v>33</v>
      </c>
      <c r="M7" s="6">
        <v>1</v>
      </c>
      <c r="N7" s="6">
        <v>31.9</v>
      </c>
      <c r="O7" s="6">
        <v>15</v>
      </c>
      <c r="P7" s="6">
        <v>21</v>
      </c>
      <c r="Q7" s="2" t="s">
        <v>102</v>
      </c>
    </row>
    <row r="8" spans="1:17" x14ac:dyDescent="0.3">
      <c r="A8" s="9"/>
      <c r="B8" s="31" t="s">
        <v>338</v>
      </c>
      <c r="C8" s="21" t="s">
        <v>412</v>
      </c>
      <c r="D8" s="63">
        <v>475</v>
      </c>
      <c r="E8" s="21">
        <v>1</v>
      </c>
      <c r="F8" s="63">
        <v>1</v>
      </c>
      <c r="G8" s="70">
        <v>0</v>
      </c>
      <c r="H8" s="21">
        <v>220</v>
      </c>
      <c r="I8" s="21" t="s">
        <v>97</v>
      </c>
      <c r="J8" s="21">
        <v>55</v>
      </c>
      <c r="K8" s="63">
        <v>65</v>
      </c>
      <c r="L8" s="21">
        <v>22</v>
      </c>
      <c r="M8" s="23">
        <v>1</v>
      </c>
      <c r="N8" s="23">
        <v>14.3</v>
      </c>
      <c r="O8" s="23">
        <v>20</v>
      </c>
      <c r="P8" s="23">
        <v>5.4</v>
      </c>
      <c r="Q8" s="24" t="s">
        <v>104</v>
      </c>
    </row>
    <row r="9" spans="1:17" s="9" customFormat="1" x14ac:dyDescent="0.3">
      <c r="B9" s="32" t="s">
        <v>345</v>
      </c>
      <c r="C9" s="5" t="s">
        <v>96</v>
      </c>
      <c r="D9" s="63">
        <v>5000</v>
      </c>
      <c r="E9" s="6">
        <v>2</v>
      </c>
      <c r="F9" s="65">
        <v>2</v>
      </c>
      <c r="G9" s="70">
        <v>7500</v>
      </c>
      <c r="H9" s="6">
        <v>220</v>
      </c>
      <c r="I9" s="6" t="s">
        <v>97</v>
      </c>
      <c r="J9" s="6">
        <v>550</v>
      </c>
      <c r="K9" s="65">
        <v>600</v>
      </c>
      <c r="L9" s="6">
        <v>120</v>
      </c>
      <c r="M9" s="6">
        <v>2</v>
      </c>
      <c r="N9" s="6">
        <v>4.54</v>
      </c>
      <c r="O9" s="6">
        <v>18</v>
      </c>
      <c r="P9" s="6">
        <v>3.9</v>
      </c>
      <c r="Q9" s="2" t="s">
        <v>98</v>
      </c>
    </row>
    <row r="10" spans="1:17" x14ac:dyDescent="0.3">
      <c r="A10" s="9"/>
      <c r="B10" s="31" t="s">
        <v>346</v>
      </c>
      <c r="C10" s="21" t="s">
        <v>96</v>
      </c>
      <c r="D10" s="63">
        <v>8000</v>
      </c>
      <c r="E10" s="21">
        <v>3</v>
      </c>
      <c r="F10" s="65">
        <v>3</v>
      </c>
      <c r="G10" s="70">
        <v>12000</v>
      </c>
      <c r="H10" s="21">
        <v>380</v>
      </c>
      <c r="I10" s="21" t="s">
        <v>101</v>
      </c>
      <c r="J10" s="21">
        <v>550</v>
      </c>
      <c r="K10" s="65">
        <v>600</v>
      </c>
      <c r="L10" s="21">
        <v>120</v>
      </c>
      <c r="M10" s="23">
        <v>3</v>
      </c>
      <c r="N10" s="23">
        <v>31.9</v>
      </c>
      <c r="O10" s="23">
        <v>18</v>
      </c>
      <c r="P10" s="23">
        <v>21</v>
      </c>
      <c r="Q10" s="24" t="s">
        <v>102</v>
      </c>
    </row>
    <row r="11" spans="1:17" s="9" customFormat="1" x14ac:dyDescent="0.3">
      <c r="B11" s="32" t="s">
        <v>347</v>
      </c>
      <c r="C11" s="5" t="s">
        <v>96</v>
      </c>
      <c r="D11" s="63">
        <v>10500</v>
      </c>
      <c r="E11" s="6">
        <v>3</v>
      </c>
      <c r="F11" s="65">
        <v>3</v>
      </c>
      <c r="G11" s="70">
        <v>15750</v>
      </c>
      <c r="H11" s="6">
        <v>220</v>
      </c>
      <c r="I11" s="6" t="s">
        <v>97</v>
      </c>
      <c r="J11" s="6">
        <v>550</v>
      </c>
      <c r="K11" s="65">
        <v>600</v>
      </c>
      <c r="L11" s="6">
        <v>120</v>
      </c>
      <c r="M11" s="6">
        <v>3</v>
      </c>
      <c r="N11" s="6">
        <v>47.7</v>
      </c>
      <c r="O11" s="6">
        <v>18</v>
      </c>
      <c r="P11" s="6">
        <v>19</v>
      </c>
      <c r="Q11" s="2" t="s">
        <v>99</v>
      </c>
    </row>
    <row r="12" spans="1:17" x14ac:dyDescent="0.3">
      <c r="A12" s="9"/>
      <c r="B12" s="31" t="s">
        <v>348</v>
      </c>
      <c r="C12" s="21" t="s">
        <v>96</v>
      </c>
      <c r="D12" s="63">
        <v>6000</v>
      </c>
      <c r="E12" s="21">
        <v>2</v>
      </c>
      <c r="F12" s="65">
        <v>2</v>
      </c>
      <c r="G12" s="70">
        <v>9000</v>
      </c>
      <c r="H12" s="21">
        <v>220</v>
      </c>
      <c r="I12" s="21" t="s">
        <v>101</v>
      </c>
      <c r="J12" s="21">
        <v>550</v>
      </c>
      <c r="K12" s="65">
        <v>600</v>
      </c>
      <c r="L12" s="21">
        <v>120</v>
      </c>
      <c r="M12" s="23">
        <v>2</v>
      </c>
      <c r="N12" s="23">
        <v>98.5</v>
      </c>
      <c r="O12" s="23">
        <v>18</v>
      </c>
      <c r="P12" s="23">
        <v>50</v>
      </c>
      <c r="Q12" s="24" t="s">
        <v>105</v>
      </c>
    </row>
    <row r="13" spans="1:17" s="9" customFormat="1" x14ac:dyDescent="0.3">
      <c r="B13" s="32" t="s">
        <v>100</v>
      </c>
      <c r="C13" s="5" t="s">
        <v>96</v>
      </c>
      <c r="D13" s="63">
        <v>12000</v>
      </c>
      <c r="E13" s="6">
        <v>2</v>
      </c>
      <c r="F13" s="65">
        <v>2</v>
      </c>
      <c r="G13" s="70">
        <v>18000</v>
      </c>
      <c r="H13" s="6">
        <v>220</v>
      </c>
      <c r="I13" s="6" t="s">
        <v>101</v>
      </c>
      <c r="J13" s="6">
        <v>1000</v>
      </c>
      <c r="K13" s="65">
        <v>1100</v>
      </c>
      <c r="L13" s="6">
        <v>140</v>
      </c>
      <c r="M13" s="6">
        <v>2</v>
      </c>
      <c r="N13" s="6">
        <v>72.2</v>
      </c>
      <c r="O13" s="6">
        <v>18.2</v>
      </c>
      <c r="P13" s="6">
        <v>50</v>
      </c>
      <c r="Q13" s="2" t="s">
        <v>105</v>
      </c>
    </row>
    <row r="14" spans="1:17" x14ac:dyDescent="0.3">
      <c r="A14" s="9"/>
      <c r="B14" s="31" t="s">
        <v>109</v>
      </c>
      <c r="C14" s="21" t="s">
        <v>96</v>
      </c>
      <c r="D14" s="63">
        <v>15000</v>
      </c>
      <c r="E14" s="23">
        <v>4</v>
      </c>
      <c r="F14" s="65">
        <v>2</v>
      </c>
      <c r="G14" s="70">
        <v>22500</v>
      </c>
      <c r="H14" s="23">
        <v>220</v>
      </c>
      <c r="I14" s="23" t="s">
        <v>101</v>
      </c>
      <c r="J14" s="23">
        <v>1000</v>
      </c>
      <c r="K14" s="65">
        <v>1100</v>
      </c>
      <c r="L14" s="23">
        <v>140</v>
      </c>
      <c r="M14" s="23">
        <v>4</v>
      </c>
      <c r="N14" s="23">
        <v>43.4</v>
      </c>
      <c r="O14" s="23">
        <v>18.2</v>
      </c>
      <c r="P14" s="23">
        <v>50</v>
      </c>
      <c r="Q14" s="24" t="s">
        <v>105</v>
      </c>
    </row>
    <row r="15" spans="1:17" s="9" customFormat="1" x14ac:dyDescent="0.3">
      <c r="B15" s="32" t="s">
        <v>349</v>
      </c>
      <c r="C15" s="5" t="s">
        <v>96</v>
      </c>
      <c r="D15" s="63">
        <v>20000</v>
      </c>
      <c r="E15" s="6">
        <v>4</v>
      </c>
      <c r="F15" s="65">
        <v>2</v>
      </c>
      <c r="G15" s="70">
        <v>30000</v>
      </c>
      <c r="H15" s="6">
        <v>380</v>
      </c>
      <c r="I15" s="6" t="s">
        <v>101</v>
      </c>
      <c r="J15" s="6">
        <v>1000</v>
      </c>
      <c r="K15" s="65">
        <v>1100</v>
      </c>
      <c r="L15" s="6">
        <v>140</v>
      </c>
      <c r="M15" s="6">
        <v>4</v>
      </c>
      <c r="N15" s="6">
        <v>100.3</v>
      </c>
      <c r="O15" s="6">
        <v>18.2</v>
      </c>
      <c r="P15" s="6">
        <v>50</v>
      </c>
      <c r="Q15" s="2" t="s">
        <v>106</v>
      </c>
    </row>
    <row r="16" spans="1:17" x14ac:dyDescent="0.3">
      <c r="A16" s="9"/>
      <c r="B16" s="31" t="s">
        <v>110</v>
      </c>
      <c r="C16" s="21" t="s">
        <v>96</v>
      </c>
      <c r="D16" s="63">
        <v>25000</v>
      </c>
      <c r="E16" s="23">
        <v>4</v>
      </c>
      <c r="F16" s="65">
        <v>2</v>
      </c>
      <c r="G16" s="70">
        <v>37500</v>
      </c>
      <c r="H16" s="23">
        <v>220</v>
      </c>
      <c r="I16" s="23" t="s">
        <v>97</v>
      </c>
      <c r="J16" s="23">
        <v>1000</v>
      </c>
      <c r="K16" s="65">
        <v>1100</v>
      </c>
      <c r="L16" s="23">
        <v>140</v>
      </c>
      <c r="M16" s="23">
        <v>4</v>
      </c>
      <c r="N16" s="23">
        <v>47.7</v>
      </c>
      <c r="O16" s="23">
        <v>18.2</v>
      </c>
      <c r="P16" s="23">
        <v>29</v>
      </c>
      <c r="Q16" s="24" t="s">
        <v>107</v>
      </c>
    </row>
    <row r="17" spans="1:17" s="9" customFormat="1" x14ac:dyDescent="0.3">
      <c r="B17" s="32" t="s">
        <v>103</v>
      </c>
      <c r="C17" s="5" t="s">
        <v>96</v>
      </c>
      <c r="D17" s="63">
        <v>3000</v>
      </c>
      <c r="E17" s="6">
        <v>1</v>
      </c>
      <c r="F17" s="65">
        <v>1</v>
      </c>
      <c r="G17" s="70">
        <v>4500</v>
      </c>
      <c r="H17" s="6">
        <v>220</v>
      </c>
      <c r="I17" s="6" t="s">
        <v>97</v>
      </c>
      <c r="J17" s="6">
        <v>480</v>
      </c>
      <c r="K17" s="65">
        <v>500</v>
      </c>
      <c r="L17" s="6">
        <v>60</v>
      </c>
      <c r="M17" s="6">
        <v>1</v>
      </c>
      <c r="N17" s="6">
        <v>11</v>
      </c>
      <c r="O17" s="6">
        <v>18</v>
      </c>
      <c r="P17" s="6">
        <v>6</v>
      </c>
      <c r="Q17" s="2" t="s">
        <v>107</v>
      </c>
    </row>
    <row r="18" spans="1:17" x14ac:dyDescent="0.3">
      <c r="A18" s="9"/>
      <c r="B18" s="33" t="s">
        <v>350</v>
      </c>
      <c r="C18" s="21" t="s">
        <v>96</v>
      </c>
      <c r="D18" s="63">
        <v>1000</v>
      </c>
      <c r="E18" s="23">
        <v>2</v>
      </c>
      <c r="F18" s="65">
        <v>2</v>
      </c>
      <c r="G18" s="70">
        <v>1340</v>
      </c>
      <c r="H18" s="23">
        <v>220</v>
      </c>
      <c r="I18" s="23" t="s">
        <v>97</v>
      </c>
      <c r="J18" s="23">
        <v>45</v>
      </c>
      <c r="K18" s="65">
        <v>60</v>
      </c>
      <c r="L18" s="23">
        <v>24</v>
      </c>
      <c r="M18" s="23">
        <v>2</v>
      </c>
      <c r="N18" s="23">
        <v>40</v>
      </c>
      <c r="O18" s="23">
        <v>24</v>
      </c>
      <c r="P18" s="23">
        <v>19</v>
      </c>
      <c r="Q18" s="24" t="s">
        <v>99</v>
      </c>
    </row>
    <row r="19" spans="1:17" s="9" customFormat="1" x14ac:dyDescent="0.3">
      <c r="B19" s="20" t="s">
        <v>111</v>
      </c>
      <c r="C19" s="5" t="s">
        <v>96</v>
      </c>
      <c r="D19" s="63">
        <v>75000</v>
      </c>
      <c r="E19" s="6">
        <v>18</v>
      </c>
      <c r="F19" s="65">
        <v>9</v>
      </c>
      <c r="G19" s="70">
        <v>135000</v>
      </c>
      <c r="H19" s="6">
        <v>220</v>
      </c>
      <c r="I19" s="6" t="s">
        <v>97</v>
      </c>
      <c r="J19" s="6">
        <v>1000</v>
      </c>
      <c r="K19" s="65">
        <v>1100</v>
      </c>
      <c r="L19" s="6">
        <v>250</v>
      </c>
      <c r="M19" s="6">
        <v>18</v>
      </c>
      <c r="N19" s="6">
        <v>26.1</v>
      </c>
      <c r="O19" s="6">
        <v>20</v>
      </c>
      <c r="P19" s="6">
        <v>14.8</v>
      </c>
      <c r="Q19" s="2" t="s">
        <v>98</v>
      </c>
    </row>
    <row r="20" spans="1:17" x14ac:dyDescent="0.3">
      <c r="A20" s="9"/>
      <c r="B20" s="33" t="s">
        <v>110</v>
      </c>
      <c r="C20" s="21" t="s">
        <v>96</v>
      </c>
      <c r="D20" s="63">
        <v>25000</v>
      </c>
      <c r="E20" s="23">
        <v>4</v>
      </c>
      <c r="F20" s="65">
        <v>2</v>
      </c>
      <c r="G20" s="70">
        <v>37500</v>
      </c>
      <c r="H20" s="23">
        <v>380</v>
      </c>
      <c r="I20" s="23" t="s">
        <v>101</v>
      </c>
      <c r="J20" s="23">
        <v>1000</v>
      </c>
      <c r="K20" s="65">
        <v>1100</v>
      </c>
      <c r="L20" s="23">
        <v>140</v>
      </c>
      <c r="M20" s="23">
        <v>4</v>
      </c>
      <c r="N20" s="23">
        <v>23.9</v>
      </c>
      <c r="O20" s="23">
        <v>18.2</v>
      </c>
      <c r="P20" s="23">
        <v>20</v>
      </c>
      <c r="Q20" s="24" t="s">
        <v>102</v>
      </c>
    </row>
    <row r="21" spans="1:17" s="9" customFormat="1" x14ac:dyDescent="0.3">
      <c r="B21" s="20" t="s">
        <v>349</v>
      </c>
      <c r="C21" s="5" t="s">
        <v>96</v>
      </c>
      <c r="D21" s="63">
        <v>20000</v>
      </c>
      <c r="E21" s="6">
        <v>4</v>
      </c>
      <c r="F21" s="65">
        <v>2</v>
      </c>
      <c r="G21" s="70">
        <v>30000</v>
      </c>
      <c r="H21" s="6">
        <v>380</v>
      </c>
      <c r="I21" s="6" t="s">
        <v>101</v>
      </c>
      <c r="J21" s="6">
        <v>1000</v>
      </c>
      <c r="K21" s="65">
        <v>1100</v>
      </c>
      <c r="L21" s="6">
        <v>140</v>
      </c>
      <c r="M21" s="6">
        <v>4</v>
      </c>
      <c r="N21" s="6">
        <v>39.9</v>
      </c>
      <c r="O21" s="6">
        <v>18.2</v>
      </c>
      <c r="P21" s="6">
        <v>21</v>
      </c>
      <c r="Q21" s="2" t="s">
        <v>102</v>
      </c>
    </row>
    <row r="22" spans="1:17" x14ac:dyDescent="0.3">
      <c r="A22" s="9"/>
      <c r="B22" s="33" t="s">
        <v>109</v>
      </c>
      <c r="C22" s="21" t="s">
        <v>96</v>
      </c>
      <c r="D22" s="63">
        <v>15000</v>
      </c>
      <c r="E22" s="23">
        <v>4</v>
      </c>
      <c r="F22" s="65">
        <v>2</v>
      </c>
      <c r="G22" s="70">
        <v>22500</v>
      </c>
      <c r="H22" s="23">
        <v>380</v>
      </c>
      <c r="I22" s="23" t="s">
        <v>101</v>
      </c>
      <c r="J22" s="23">
        <v>1000</v>
      </c>
      <c r="K22" s="65">
        <v>1100</v>
      </c>
      <c r="L22" s="23">
        <v>140</v>
      </c>
      <c r="M22" s="23">
        <v>4</v>
      </c>
      <c r="N22" s="23">
        <v>113.7</v>
      </c>
      <c r="O22" s="23">
        <v>18.2</v>
      </c>
      <c r="P22" s="23">
        <v>90</v>
      </c>
      <c r="Q22" s="24" t="s">
        <v>112</v>
      </c>
    </row>
    <row r="23" spans="1:17" s="9" customFormat="1" x14ac:dyDescent="0.3">
      <c r="B23" s="20" t="s">
        <v>351</v>
      </c>
      <c r="C23" s="5" t="s">
        <v>96</v>
      </c>
      <c r="D23" s="63">
        <v>9000</v>
      </c>
      <c r="E23" s="6">
        <v>1</v>
      </c>
      <c r="F23" s="65">
        <v>3</v>
      </c>
      <c r="G23" s="70">
        <v>13500</v>
      </c>
      <c r="H23" s="6">
        <v>380</v>
      </c>
      <c r="I23" s="6" t="s">
        <v>101</v>
      </c>
      <c r="J23" s="6">
        <v>550</v>
      </c>
      <c r="K23" s="65">
        <v>600</v>
      </c>
      <c r="L23" s="6">
        <v>120</v>
      </c>
      <c r="M23" s="6">
        <v>1</v>
      </c>
      <c r="N23" s="6">
        <v>39.9</v>
      </c>
      <c r="O23" s="6">
        <v>18</v>
      </c>
      <c r="P23" s="6">
        <v>21</v>
      </c>
      <c r="Q23" s="2" t="s">
        <v>102</v>
      </c>
    </row>
    <row r="24" spans="1:17" x14ac:dyDescent="0.3">
      <c r="A24" s="9"/>
      <c r="B24" s="33" t="s">
        <v>352</v>
      </c>
      <c r="C24" s="21" t="s">
        <v>96</v>
      </c>
      <c r="D24" s="63">
        <v>10000</v>
      </c>
      <c r="E24" s="23">
        <v>1</v>
      </c>
      <c r="F24" s="65">
        <v>3</v>
      </c>
      <c r="G24" s="70">
        <v>15000</v>
      </c>
      <c r="H24" s="23">
        <v>380</v>
      </c>
      <c r="I24" s="23" t="s">
        <v>101</v>
      </c>
      <c r="J24" s="23">
        <v>550</v>
      </c>
      <c r="K24" s="65">
        <v>600</v>
      </c>
      <c r="L24" s="23">
        <v>120</v>
      </c>
      <c r="M24" s="23">
        <v>1</v>
      </c>
      <c r="N24" s="23">
        <v>23.9</v>
      </c>
      <c r="O24" s="23">
        <v>18</v>
      </c>
      <c r="P24" s="23">
        <v>20</v>
      </c>
      <c r="Q24" s="24" t="s">
        <v>102</v>
      </c>
    </row>
    <row r="25" spans="1:17" s="9" customFormat="1" x14ac:dyDescent="0.3">
      <c r="B25" s="20" t="s">
        <v>353</v>
      </c>
      <c r="C25" s="5" t="s">
        <v>96</v>
      </c>
      <c r="D25" s="63">
        <v>37500</v>
      </c>
      <c r="E25" s="6">
        <v>8</v>
      </c>
      <c r="F25" s="65">
        <v>4</v>
      </c>
      <c r="G25" s="70">
        <v>75000</v>
      </c>
      <c r="H25" s="6">
        <v>220</v>
      </c>
      <c r="I25" s="6" t="s">
        <v>97</v>
      </c>
      <c r="J25" s="6">
        <v>1000</v>
      </c>
      <c r="K25" s="65">
        <v>1100</v>
      </c>
      <c r="L25" s="6">
        <v>250</v>
      </c>
      <c r="M25" s="6">
        <v>8</v>
      </c>
      <c r="N25" s="6">
        <v>47.7</v>
      </c>
      <c r="O25" s="6">
        <v>25</v>
      </c>
      <c r="P25" s="6">
        <v>19</v>
      </c>
      <c r="Q25" s="2" t="s">
        <v>99</v>
      </c>
    </row>
    <row r="26" spans="1:17" x14ac:dyDescent="0.3">
      <c r="A26" s="9"/>
      <c r="B26" s="33" t="s">
        <v>354</v>
      </c>
      <c r="C26" s="21" t="s">
        <v>96</v>
      </c>
      <c r="D26" s="63">
        <v>30000</v>
      </c>
      <c r="E26" s="23">
        <v>8</v>
      </c>
      <c r="F26" s="65">
        <v>4</v>
      </c>
      <c r="G26" s="70">
        <v>60000</v>
      </c>
      <c r="H26" s="23">
        <v>220</v>
      </c>
      <c r="I26" s="23" t="s">
        <v>101</v>
      </c>
      <c r="J26" s="23">
        <v>1000</v>
      </c>
      <c r="K26" s="65">
        <v>1100</v>
      </c>
      <c r="L26" s="23">
        <v>250</v>
      </c>
      <c r="M26" s="23">
        <v>8</v>
      </c>
      <c r="N26" s="23">
        <v>86.7</v>
      </c>
      <c r="O26" s="23">
        <v>25</v>
      </c>
      <c r="P26" s="23">
        <v>50</v>
      </c>
      <c r="Q26" s="24" t="s">
        <v>105</v>
      </c>
    </row>
    <row r="27" spans="1:17" s="9" customFormat="1" x14ac:dyDescent="0.3">
      <c r="B27" s="20" t="s">
        <v>355</v>
      </c>
      <c r="C27" s="5" t="s">
        <v>96</v>
      </c>
      <c r="D27" s="63">
        <v>25000</v>
      </c>
      <c r="E27" s="6">
        <v>8</v>
      </c>
      <c r="F27" s="65">
        <v>4</v>
      </c>
      <c r="G27" s="70">
        <v>50000</v>
      </c>
      <c r="H27" s="6">
        <v>220</v>
      </c>
      <c r="I27" s="6" t="s">
        <v>101</v>
      </c>
      <c r="J27" s="6">
        <v>1000</v>
      </c>
      <c r="K27" s="65">
        <v>1100</v>
      </c>
      <c r="L27" s="6">
        <v>250</v>
      </c>
      <c r="M27" s="6">
        <v>8</v>
      </c>
      <c r="N27" s="6">
        <v>57.8</v>
      </c>
      <c r="O27" s="6">
        <v>25</v>
      </c>
      <c r="P27" s="6">
        <v>50</v>
      </c>
      <c r="Q27" s="2" t="s">
        <v>105</v>
      </c>
    </row>
    <row r="28" spans="1:17" x14ac:dyDescent="0.3">
      <c r="A28" s="9"/>
      <c r="B28" s="33" t="s">
        <v>356</v>
      </c>
      <c r="C28" s="21" t="s">
        <v>96</v>
      </c>
      <c r="D28" s="63">
        <v>20000</v>
      </c>
      <c r="E28" s="23">
        <v>8</v>
      </c>
      <c r="F28" s="65">
        <v>4</v>
      </c>
      <c r="G28" s="70">
        <v>40000</v>
      </c>
      <c r="H28" s="23">
        <v>380</v>
      </c>
      <c r="I28" s="23" t="s">
        <v>101</v>
      </c>
      <c r="J28" s="23">
        <v>1000</v>
      </c>
      <c r="K28" s="65">
        <v>1100</v>
      </c>
      <c r="L28" s="23">
        <v>250</v>
      </c>
      <c r="M28" s="23">
        <v>8</v>
      </c>
      <c r="N28" s="23">
        <v>166.7</v>
      </c>
      <c r="O28" s="23">
        <v>25</v>
      </c>
      <c r="P28" s="23">
        <v>90</v>
      </c>
      <c r="Q28" s="24" t="s">
        <v>112</v>
      </c>
    </row>
    <row r="29" spans="1:17" s="9" customFormat="1" x14ac:dyDescent="0.3">
      <c r="B29" s="20" t="s">
        <v>357</v>
      </c>
      <c r="C29" s="5" t="s">
        <v>96</v>
      </c>
      <c r="D29" s="63">
        <v>15000</v>
      </c>
      <c r="E29" s="6">
        <v>8</v>
      </c>
      <c r="F29" s="65">
        <v>4</v>
      </c>
      <c r="G29" s="70">
        <v>30000</v>
      </c>
      <c r="H29" s="6">
        <v>380</v>
      </c>
      <c r="I29" s="6" t="s">
        <v>101</v>
      </c>
      <c r="J29" s="6">
        <v>1000</v>
      </c>
      <c r="K29" s="65">
        <v>1100</v>
      </c>
      <c r="L29" s="6">
        <v>250</v>
      </c>
      <c r="M29" s="6">
        <v>8</v>
      </c>
      <c r="N29" s="6">
        <v>114</v>
      </c>
      <c r="O29" s="6">
        <v>25</v>
      </c>
      <c r="P29" s="6">
        <v>50</v>
      </c>
      <c r="Q29" s="2" t="s">
        <v>106</v>
      </c>
    </row>
    <row r="30" spans="1:17" x14ac:dyDescent="0.3">
      <c r="A30" s="9"/>
      <c r="B30" s="33" t="s">
        <v>358</v>
      </c>
      <c r="C30" s="21" t="s">
        <v>96</v>
      </c>
      <c r="D30" s="63">
        <v>100000</v>
      </c>
      <c r="E30" s="23">
        <v>18</v>
      </c>
      <c r="F30" s="65">
        <v>9</v>
      </c>
      <c r="G30" s="70">
        <v>150000</v>
      </c>
      <c r="H30" s="23">
        <v>380</v>
      </c>
      <c r="I30" s="23" t="s">
        <v>101</v>
      </c>
      <c r="J30" s="23">
        <v>1000</v>
      </c>
      <c r="K30" s="65">
        <v>1100</v>
      </c>
      <c r="L30" s="23">
        <v>250</v>
      </c>
      <c r="M30" s="23">
        <v>18</v>
      </c>
      <c r="N30" s="23">
        <v>83.6</v>
      </c>
      <c r="O30" s="23">
        <v>20</v>
      </c>
      <c r="P30" s="23">
        <v>50</v>
      </c>
      <c r="Q30" s="24" t="s">
        <v>105</v>
      </c>
    </row>
    <row r="31" spans="1:17" s="9" customFormat="1" x14ac:dyDescent="0.3">
      <c r="B31" s="20" t="s">
        <v>359</v>
      </c>
      <c r="C31" s="5" t="s">
        <v>96</v>
      </c>
      <c r="D31" s="63">
        <v>75000</v>
      </c>
      <c r="E31" s="6">
        <v>12</v>
      </c>
      <c r="F31" s="65">
        <v>6</v>
      </c>
      <c r="G31" s="70">
        <v>150000</v>
      </c>
      <c r="H31" s="6">
        <v>220</v>
      </c>
      <c r="I31" s="6" t="s">
        <v>97</v>
      </c>
      <c r="J31" s="6">
        <v>1000</v>
      </c>
      <c r="K31" s="65">
        <v>1100</v>
      </c>
      <c r="L31" s="6">
        <v>250</v>
      </c>
      <c r="M31" s="6">
        <v>12</v>
      </c>
      <c r="N31" s="6">
        <v>37.5</v>
      </c>
      <c r="O31" s="6">
        <v>25</v>
      </c>
      <c r="P31" s="6">
        <v>19</v>
      </c>
      <c r="Q31" s="2" t="s">
        <v>99</v>
      </c>
    </row>
    <row r="32" spans="1:17" x14ac:dyDescent="0.3">
      <c r="A32" s="9"/>
      <c r="B32" s="33" t="s">
        <v>360</v>
      </c>
      <c r="C32" s="21" t="s">
        <v>96</v>
      </c>
      <c r="D32" s="63">
        <v>60000</v>
      </c>
      <c r="E32" s="23">
        <v>12</v>
      </c>
      <c r="F32" s="65">
        <v>6</v>
      </c>
      <c r="G32" s="70">
        <v>120000</v>
      </c>
      <c r="H32" s="23">
        <v>220</v>
      </c>
      <c r="I32" s="23" t="s">
        <v>97</v>
      </c>
      <c r="J32" s="23">
        <v>1000</v>
      </c>
      <c r="K32" s="65">
        <v>1100</v>
      </c>
      <c r="L32" s="23">
        <v>250</v>
      </c>
      <c r="M32" s="23">
        <v>12</v>
      </c>
      <c r="N32" s="23">
        <v>10.23</v>
      </c>
      <c r="O32" s="23">
        <v>25</v>
      </c>
      <c r="P32" s="23">
        <v>6</v>
      </c>
      <c r="Q32" s="24" t="s">
        <v>107</v>
      </c>
    </row>
    <row r="33" spans="2:17" s="9" customFormat="1" x14ac:dyDescent="0.3">
      <c r="B33" s="31" t="s">
        <v>361</v>
      </c>
      <c r="C33" s="21" t="s">
        <v>96</v>
      </c>
      <c r="D33" s="63">
        <v>50000</v>
      </c>
      <c r="E33" s="23">
        <v>8</v>
      </c>
      <c r="F33" s="65">
        <v>4</v>
      </c>
      <c r="G33" s="70">
        <v>100000</v>
      </c>
      <c r="H33" s="21">
        <v>380</v>
      </c>
      <c r="I33" s="21" t="s">
        <v>101</v>
      </c>
      <c r="J33" s="21">
        <v>1000</v>
      </c>
      <c r="K33" s="65">
        <v>1100</v>
      </c>
      <c r="L33" s="21">
        <v>250</v>
      </c>
      <c r="M33" s="27">
        <v>8</v>
      </c>
      <c r="N33" s="27">
        <v>96</v>
      </c>
      <c r="O33" s="23">
        <v>25</v>
      </c>
      <c r="P33" s="23">
        <v>60</v>
      </c>
      <c r="Q33" s="24" t="s">
        <v>117</v>
      </c>
    </row>
    <row r="34" spans="2:17" s="9" customFormat="1" x14ac:dyDescent="0.3">
      <c r="B34" s="32" t="s">
        <v>113</v>
      </c>
      <c r="C34" s="5" t="s">
        <v>96</v>
      </c>
      <c r="D34" s="63">
        <v>7500</v>
      </c>
      <c r="E34" s="6">
        <v>3</v>
      </c>
      <c r="F34" s="65">
        <v>3</v>
      </c>
      <c r="G34" s="70">
        <v>11250</v>
      </c>
      <c r="H34" s="6">
        <v>600</v>
      </c>
      <c r="I34" s="6" t="s">
        <v>101</v>
      </c>
      <c r="J34" s="6">
        <v>550</v>
      </c>
      <c r="K34" s="65">
        <v>600</v>
      </c>
      <c r="L34" s="6">
        <v>120</v>
      </c>
      <c r="M34" s="6">
        <v>3</v>
      </c>
      <c r="N34" s="6">
        <v>120</v>
      </c>
      <c r="O34" s="6">
        <v>18</v>
      </c>
      <c r="P34" s="6">
        <v>76</v>
      </c>
      <c r="Q34" s="2" t="s">
        <v>104</v>
      </c>
    </row>
    <row r="35" spans="2:17" s="9" customFormat="1" x14ac:dyDescent="0.3">
      <c r="B35" s="31" t="s">
        <v>362</v>
      </c>
      <c r="C35" s="21" t="s">
        <v>96</v>
      </c>
      <c r="D35" s="63">
        <v>10500</v>
      </c>
      <c r="E35" s="23">
        <v>4</v>
      </c>
      <c r="F35" s="65">
        <v>4</v>
      </c>
      <c r="G35" s="70">
        <v>21000</v>
      </c>
      <c r="H35" s="21">
        <v>380</v>
      </c>
      <c r="I35" s="21" t="s">
        <v>101</v>
      </c>
      <c r="J35" s="21">
        <v>500</v>
      </c>
      <c r="K35" s="65">
        <v>600</v>
      </c>
      <c r="L35" s="21">
        <v>75</v>
      </c>
      <c r="M35" s="27">
        <v>4</v>
      </c>
      <c r="N35" s="27">
        <v>158.80000000000001</v>
      </c>
      <c r="O35" s="23">
        <v>20</v>
      </c>
      <c r="P35" s="23">
        <v>89</v>
      </c>
      <c r="Q35" s="24" t="s">
        <v>112</v>
      </c>
    </row>
    <row r="36" spans="2:17" s="9" customFormat="1" x14ac:dyDescent="0.3">
      <c r="B36" s="32" t="s">
        <v>108</v>
      </c>
      <c r="C36" s="5" t="s">
        <v>96</v>
      </c>
      <c r="D36" s="63">
        <v>2400</v>
      </c>
      <c r="E36" s="6">
        <v>4</v>
      </c>
      <c r="F36" s="65">
        <v>4</v>
      </c>
      <c r="G36" s="70">
        <v>2800</v>
      </c>
      <c r="H36" s="6">
        <v>220</v>
      </c>
      <c r="I36" s="6" t="s">
        <v>97</v>
      </c>
      <c r="J36" s="6">
        <v>50</v>
      </c>
      <c r="K36" s="65">
        <v>60</v>
      </c>
      <c r="L36" s="6">
        <v>32</v>
      </c>
      <c r="M36" s="6">
        <v>4</v>
      </c>
      <c r="N36" s="6">
        <v>9.1</v>
      </c>
      <c r="O36" s="6">
        <v>26</v>
      </c>
      <c r="P36" s="6">
        <v>8.5</v>
      </c>
      <c r="Q36" s="2" t="s">
        <v>104</v>
      </c>
    </row>
    <row r="37" spans="2:17" s="9" customFormat="1" x14ac:dyDescent="0.3">
      <c r="B37" s="31" t="s">
        <v>100</v>
      </c>
      <c r="C37" s="21" t="s">
        <v>96</v>
      </c>
      <c r="D37" s="63">
        <v>12000</v>
      </c>
      <c r="E37" s="23">
        <v>2</v>
      </c>
      <c r="F37" s="65">
        <v>2</v>
      </c>
      <c r="G37" s="70">
        <v>18000</v>
      </c>
      <c r="H37" s="21">
        <v>220</v>
      </c>
      <c r="I37" s="21" t="s">
        <v>97</v>
      </c>
      <c r="J37" s="21">
        <v>1000</v>
      </c>
      <c r="K37" s="65">
        <v>1100</v>
      </c>
      <c r="L37" s="21">
        <v>140</v>
      </c>
      <c r="M37" s="27">
        <v>2</v>
      </c>
      <c r="N37" s="27">
        <v>22.7</v>
      </c>
      <c r="O37" s="23">
        <v>18.2</v>
      </c>
      <c r="P37" s="23">
        <v>11.5</v>
      </c>
      <c r="Q37" s="24" t="s">
        <v>98</v>
      </c>
    </row>
    <row r="38" spans="2:17" s="9" customFormat="1" x14ac:dyDescent="0.3">
      <c r="B38" s="32" t="s">
        <v>363</v>
      </c>
      <c r="C38" s="5" t="s">
        <v>96</v>
      </c>
      <c r="D38" s="63">
        <v>5000</v>
      </c>
      <c r="E38" s="2">
        <v>2</v>
      </c>
      <c r="F38" s="65">
        <v>2</v>
      </c>
      <c r="G38" s="70">
        <v>10000</v>
      </c>
      <c r="H38" s="6">
        <v>220</v>
      </c>
      <c r="I38" s="6" t="s">
        <v>97</v>
      </c>
      <c r="J38" s="6">
        <v>550</v>
      </c>
      <c r="K38" s="65">
        <v>600</v>
      </c>
      <c r="L38" s="6">
        <v>75</v>
      </c>
      <c r="M38" s="6">
        <v>2</v>
      </c>
      <c r="N38" s="6">
        <v>36.1</v>
      </c>
      <c r="O38" s="6">
        <v>20</v>
      </c>
      <c r="P38" s="6">
        <v>15.5</v>
      </c>
      <c r="Q38" s="2" t="s">
        <v>123</v>
      </c>
    </row>
    <row r="39" spans="2:17" s="9" customFormat="1" x14ac:dyDescent="0.3">
      <c r="B39" s="31" t="s">
        <v>364</v>
      </c>
      <c r="C39" s="21" t="s">
        <v>96</v>
      </c>
      <c r="D39" s="63">
        <v>30000</v>
      </c>
      <c r="E39" s="23">
        <v>6</v>
      </c>
      <c r="F39" s="65">
        <v>3</v>
      </c>
      <c r="G39" s="70">
        <v>60000</v>
      </c>
      <c r="H39" s="21">
        <v>380</v>
      </c>
      <c r="I39" s="21" t="s">
        <v>101</v>
      </c>
      <c r="J39" s="21">
        <v>850</v>
      </c>
      <c r="K39" s="65">
        <v>1000</v>
      </c>
      <c r="L39" s="21">
        <v>160</v>
      </c>
      <c r="M39" s="27">
        <v>6</v>
      </c>
      <c r="N39" s="27">
        <v>66.900000000000006</v>
      </c>
      <c r="O39" s="23">
        <v>20</v>
      </c>
      <c r="P39" s="23">
        <v>58</v>
      </c>
      <c r="Q39" s="24" t="s">
        <v>105</v>
      </c>
    </row>
    <row r="40" spans="2:17" s="9" customFormat="1" x14ac:dyDescent="0.3">
      <c r="B40" s="32" t="s">
        <v>365</v>
      </c>
      <c r="C40" s="5" t="s">
        <v>96</v>
      </c>
      <c r="D40" s="63">
        <v>7500</v>
      </c>
      <c r="E40" s="6">
        <v>4</v>
      </c>
      <c r="F40" s="65">
        <v>3</v>
      </c>
      <c r="G40" s="70">
        <v>15000</v>
      </c>
      <c r="H40" s="6">
        <v>220</v>
      </c>
      <c r="I40" s="6" t="s">
        <v>101</v>
      </c>
      <c r="J40" s="6">
        <v>550</v>
      </c>
      <c r="K40" s="65">
        <v>600</v>
      </c>
      <c r="L40" s="6">
        <v>100</v>
      </c>
      <c r="M40" s="6">
        <v>4</v>
      </c>
      <c r="N40" s="6">
        <v>72.2</v>
      </c>
      <c r="O40" s="6">
        <v>22</v>
      </c>
      <c r="P40" s="6">
        <v>54</v>
      </c>
      <c r="Q40" s="2" t="s">
        <v>126</v>
      </c>
    </row>
    <row r="41" spans="2:17" s="9" customFormat="1" x14ac:dyDescent="0.3">
      <c r="B41" s="31" t="s">
        <v>366</v>
      </c>
      <c r="C41" s="21" t="s">
        <v>96</v>
      </c>
      <c r="D41" s="63">
        <v>20000</v>
      </c>
      <c r="E41" s="23">
        <v>6</v>
      </c>
      <c r="F41" s="65">
        <v>3</v>
      </c>
      <c r="G41" s="70">
        <v>40000</v>
      </c>
      <c r="H41" s="21">
        <v>800</v>
      </c>
      <c r="I41" s="21" t="s">
        <v>101</v>
      </c>
      <c r="J41" s="21">
        <v>850</v>
      </c>
      <c r="K41" s="65">
        <v>1000</v>
      </c>
      <c r="L41" s="21">
        <v>160</v>
      </c>
      <c r="M41" s="27">
        <v>6</v>
      </c>
      <c r="N41" s="27">
        <v>180.5</v>
      </c>
      <c r="O41" s="23">
        <v>20</v>
      </c>
      <c r="P41" s="23">
        <v>99</v>
      </c>
      <c r="Q41" s="24" t="s">
        <v>128</v>
      </c>
    </row>
    <row r="42" spans="2:17" s="9" customFormat="1" x14ac:dyDescent="0.3">
      <c r="B42" s="32" t="s">
        <v>339</v>
      </c>
      <c r="C42" s="5" t="s">
        <v>96</v>
      </c>
      <c r="D42" s="63">
        <v>5000000</v>
      </c>
      <c r="E42" s="6">
        <v>2</v>
      </c>
      <c r="F42" s="64">
        <v>2</v>
      </c>
      <c r="G42" s="70">
        <v>16000000</v>
      </c>
      <c r="H42" s="6">
        <v>380</v>
      </c>
      <c r="I42" s="6" t="s">
        <v>101</v>
      </c>
      <c r="J42" s="6">
        <v>550</v>
      </c>
      <c r="K42" s="64">
        <v>600</v>
      </c>
      <c r="L42" s="6">
        <v>75</v>
      </c>
      <c r="M42" s="6">
        <v>2</v>
      </c>
      <c r="N42" s="6">
        <v>113.7</v>
      </c>
      <c r="O42" s="6">
        <v>25</v>
      </c>
      <c r="P42" s="6">
        <v>89</v>
      </c>
      <c r="Q42" s="2" t="s">
        <v>112</v>
      </c>
    </row>
    <row r="43" spans="2:17" s="9" customFormat="1" x14ac:dyDescent="0.3">
      <c r="B43" s="31" t="s">
        <v>340</v>
      </c>
      <c r="C43" s="21" t="s">
        <v>96</v>
      </c>
      <c r="D43" s="63">
        <v>7500</v>
      </c>
      <c r="E43" s="23">
        <v>3</v>
      </c>
      <c r="F43" s="63">
        <v>3</v>
      </c>
      <c r="G43" s="70">
        <v>16000000</v>
      </c>
      <c r="H43" s="21">
        <v>380</v>
      </c>
      <c r="I43" s="21" t="s">
        <v>101</v>
      </c>
      <c r="J43" s="21">
        <v>500</v>
      </c>
      <c r="K43" s="63">
        <v>600</v>
      </c>
      <c r="L43" s="21">
        <v>75</v>
      </c>
      <c r="M43" s="27">
        <v>3</v>
      </c>
      <c r="N43" s="27">
        <v>20</v>
      </c>
      <c r="O43" s="23">
        <v>20</v>
      </c>
      <c r="P43" s="23">
        <v>18</v>
      </c>
      <c r="Q43" s="24" t="s">
        <v>131</v>
      </c>
    </row>
    <row r="44" spans="2:17" s="9" customFormat="1" x14ac:dyDescent="0.3">
      <c r="B44" s="32" t="s">
        <v>185</v>
      </c>
      <c r="C44" s="5" t="s">
        <v>186</v>
      </c>
      <c r="D44" s="63">
        <v>6000</v>
      </c>
      <c r="E44" s="6">
        <v>2</v>
      </c>
      <c r="F44" s="65">
        <v>2</v>
      </c>
      <c r="G44" s="70">
        <v>9000</v>
      </c>
      <c r="H44" s="6">
        <v>380</v>
      </c>
      <c r="I44" s="6" t="s">
        <v>101</v>
      </c>
      <c r="J44" s="6">
        <v>550</v>
      </c>
      <c r="K44" s="65">
        <v>550</v>
      </c>
      <c r="L44" s="6">
        <v>100</v>
      </c>
      <c r="M44" s="6">
        <v>2</v>
      </c>
      <c r="N44" s="6">
        <v>31.9</v>
      </c>
      <c r="O44" s="6">
        <v>16.899999999999999</v>
      </c>
      <c r="P44" s="6">
        <v>21</v>
      </c>
      <c r="Q44" s="2" t="s">
        <v>102</v>
      </c>
    </row>
    <row r="45" spans="2:17" s="9" customFormat="1" x14ac:dyDescent="0.3">
      <c r="B45" s="31" t="s">
        <v>187</v>
      </c>
      <c r="C45" s="21" t="s">
        <v>186</v>
      </c>
      <c r="D45" s="63">
        <v>3000</v>
      </c>
      <c r="E45" s="23">
        <v>2</v>
      </c>
      <c r="F45" s="65">
        <v>2</v>
      </c>
      <c r="G45" s="70">
        <v>4500</v>
      </c>
      <c r="H45" s="21">
        <v>220</v>
      </c>
      <c r="I45" s="21" t="s">
        <v>97</v>
      </c>
      <c r="J45" s="21">
        <v>500</v>
      </c>
      <c r="K45" s="65">
        <v>500</v>
      </c>
      <c r="L45" s="21">
        <v>100</v>
      </c>
      <c r="M45" s="27">
        <v>2</v>
      </c>
      <c r="N45" s="27">
        <v>13.7</v>
      </c>
      <c r="O45" s="23">
        <v>16.899999999999999</v>
      </c>
      <c r="P45" s="23">
        <v>6</v>
      </c>
      <c r="Q45" s="24" t="s">
        <v>104</v>
      </c>
    </row>
    <row r="46" spans="2:17" s="9" customFormat="1" x14ac:dyDescent="0.3">
      <c r="B46" s="32" t="s">
        <v>367</v>
      </c>
      <c r="C46" s="5" t="s">
        <v>186</v>
      </c>
      <c r="D46" s="63">
        <v>8000</v>
      </c>
      <c r="E46" s="6">
        <v>3</v>
      </c>
      <c r="F46" s="65">
        <v>2</v>
      </c>
      <c r="G46" s="70">
        <v>12000</v>
      </c>
      <c r="H46" s="6">
        <v>220</v>
      </c>
      <c r="I46" s="6" t="s">
        <v>97</v>
      </c>
      <c r="J46" s="6">
        <v>550</v>
      </c>
      <c r="K46" s="65">
        <v>600</v>
      </c>
      <c r="L46" s="6">
        <v>100</v>
      </c>
      <c r="M46" s="6">
        <v>3</v>
      </c>
      <c r="N46" s="6">
        <v>22.8</v>
      </c>
      <c r="O46" s="6">
        <v>16.899999999999999</v>
      </c>
      <c r="P46" s="6">
        <v>10</v>
      </c>
      <c r="Q46" s="2" t="s">
        <v>98</v>
      </c>
    </row>
    <row r="47" spans="2:17" s="9" customFormat="1" x14ac:dyDescent="0.3">
      <c r="B47" s="31" t="s">
        <v>188</v>
      </c>
      <c r="C47" s="21" t="s">
        <v>186</v>
      </c>
      <c r="D47" s="63">
        <v>5000</v>
      </c>
      <c r="E47" s="23">
        <v>2</v>
      </c>
      <c r="F47" s="65">
        <v>2</v>
      </c>
      <c r="G47" s="70">
        <v>7500</v>
      </c>
      <c r="H47" s="21">
        <v>220</v>
      </c>
      <c r="I47" s="21" t="s">
        <v>97</v>
      </c>
      <c r="J47" s="21">
        <v>550</v>
      </c>
      <c r="K47" s="65">
        <v>550</v>
      </c>
      <c r="L47" s="21">
        <v>100</v>
      </c>
      <c r="M47" s="27">
        <v>2</v>
      </c>
      <c r="N47" s="27">
        <v>36.4</v>
      </c>
      <c r="O47" s="23">
        <v>16.899999999999999</v>
      </c>
      <c r="P47" s="23">
        <v>19</v>
      </c>
      <c r="Q47" s="24" t="s">
        <v>99</v>
      </c>
    </row>
    <row r="48" spans="2:17" s="9" customFormat="1" x14ac:dyDescent="0.3">
      <c r="B48" s="32" t="s">
        <v>189</v>
      </c>
      <c r="C48" s="5" t="s">
        <v>186</v>
      </c>
      <c r="D48" s="63">
        <v>3500</v>
      </c>
      <c r="E48" s="6">
        <v>1</v>
      </c>
      <c r="F48" s="65">
        <v>1</v>
      </c>
      <c r="G48" s="70">
        <v>4500</v>
      </c>
      <c r="H48" s="6">
        <v>220</v>
      </c>
      <c r="I48" s="6" t="s">
        <v>97</v>
      </c>
      <c r="J48" s="6">
        <v>430</v>
      </c>
      <c r="K48" s="65">
        <v>450</v>
      </c>
      <c r="L48" s="6">
        <v>160</v>
      </c>
      <c r="M48" s="6">
        <v>1</v>
      </c>
      <c r="N48" s="6">
        <v>45.5</v>
      </c>
      <c r="O48" s="6">
        <v>80</v>
      </c>
      <c r="P48" s="6">
        <v>19</v>
      </c>
      <c r="Q48" s="2" t="s">
        <v>99</v>
      </c>
    </row>
    <row r="49" spans="2:17" s="9" customFormat="1" x14ac:dyDescent="0.3">
      <c r="B49" s="31" t="s">
        <v>190</v>
      </c>
      <c r="C49" s="21" t="s">
        <v>186</v>
      </c>
      <c r="D49" s="63">
        <v>3000</v>
      </c>
      <c r="E49" s="23">
        <v>1</v>
      </c>
      <c r="F49" s="65">
        <v>1</v>
      </c>
      <c r="G49" s="70">
        <v>4200</v>
      </c>
      <c r="H49" s="21">
        <v>380</v>
      </c>
      <c r="I49" s="21" t="s">
        <v>101</v>
      </c>
      <c r="J49" s="21">
        <v>550</v>
      </c>
      <c r="K49" s="65">
        <v>550</v>
      </c>
      <c r="L49" s="21">
        <v>80</v>
      </c>
      <c r="M49" s="27">
        <v>1</v>
      </c>
      <c r="N49" s="27">
        <v>41.8</v>
      </c>
      <c r="O49" s="23">
        <v>16</v>
      </c>
      <c r="P49" s="23">
        <v>38</v>
      </c>
      <c r="Q49" s="24" t="s">
        <v>126</v>
      </c>
    </row>
    <row r="50" spans="2:17" s="9" customFormat="1" x14ac:dyDescent="0.3">
      <c r="B50" s="32" t="s">
        <v>191</v>
      </c>
      <c r="C50" s="5" t="s">
        <v>186</v>
      </c>
      <c r="D50" s="63">
        <v>15000</v>
      </c>
      <c r="E50" s="6">
        <v>4</v>
      </c>
      <c r="F50" s="65">
        <v>2</v>
      </c>
      <c r="G50" s="70">
        <v>22500</v>
      </c>
      <c r="H50" s="6">
        <v>220</v>
      </c>
      <c r="I50" s="6" t="s">
        <v>101</v>
      </c>
      <c r="J50" s="6">
        <v>1000</v>
      </c>
      <c r="K50" s="65">
        <v>1100</v>
      </c>
      <c r="L50" s="6">
        <v>250</v>
      </c>
      <c r="M50" s="6">
        <v>4</v>
      </c>
      <c r="N50" s="6">
        <v>57.8</v>
      </c>
      <c r="O50" s="6">
        <v>16.899999999999999</v>
      </c>
      <c r="P50" s="6">
        <v>38</v>
      </c>
      <c r="Q50" s="2" t="s">
        <v>126</v>
      </c>
    </row>
    <row r="51" spans="2:17" s="9" customFormat="1" x14ac:dyDescent="0.3">
      <c r="B51" s="31" t="s">
        <v>192</v>
      </c>
      <c r="C51" s="21" t="s">
        <v>186</v>
      </c>
      <c r="D51" s="63">
        <v>25000</v>
      </c>
      <c r="E51" s="23">
        <v>5</v>
      </c>
      <c r="F51" s="65">
        <v>2</v>
      </c>
      <c r="G51" s="70">
        <v>37500</v>
      </c>
      <c r="H51" s="21">
        <v>380</v>
      </c>
      <c r="I51" s="21" t="s">
        <v>101</v>
      </c>
      <c r="J51" s="21">
        <v>1000</v>
      </c>
      <c r="K51" s="65">
        <v>1100</v>
      </c>
      <c r="L51" s="21">
        <v>250</v>
      </c>
      <c r="M51" s="27">
        <v>5</v>
      </c>
      <c r="N51" s="27">
        <v>167.1</v>
      </c>
      <c r="O51" s="23">
        <v>16.899999999999999</v>
      </c>
      <c r="P51" s="23">
        <v>87</v>
      </c>
      <c r="Q51" s="24" t="s">
        <v>128</v>
      </c>
    </row>
    <row r="52" spans="2:17" s="9" customFormat="1" x14ac:dyDescent="0.3">
      <c r="B52" s="32" t="s">
        <v>194</v>
      </c>
      <c r="C52" s="5" t="s">
        <v>186</v>
      </c>
      <c r="D52" s="63">
        <v>75000</v>
      </c>
      <c r="E52" s="6">
        <v>14</v>
      </c>
      <c r="F52" s="65">
        <v>7</v>
      </c>
      <c r="G52" s="70">
        <v>120000</v>
      </c>
      <c r="H52" s="6">
        <v>220</v>
      </c>
      <c r="I52" s="6" t="s">
        <v>97</v>
      </c>
      <c r="J52" s="6">
        <v>1000</v>
      </c>
      <c r="K52" s="65">
        <v>1100</v>
      </c>
      <c r="L52" s="6">
        <v>250</v>
      </c>
      <c r="M52" s="6">
        <v>14</v>
      </c>
      <c r="N52" s="6">
        <v>45.5</v>
      </c>
      <c r="O52" s="6">
        <v>16</v>
      </c>
      <c r="P52" s="6">
        <v>18</v>
      </c>
      <c r="Q52" s="2" t="s">
        <v>99</v>
      </c>
    </row>
    <row r="53" spans="2:17" s="9" customFormat="1" x14ac:dyDescent="0.3">
      <c r="B53" s="31" t="s">
        <v>196</v>
      </c>
      <c r="C53" s="21" t="s">
        <v>186</v>
      </c>
      <c r="D53" s="63">
        <v>60000</v>
      </c>
      <c r="E53" s="23">
        <v>12</v>
      </c>
      <c r="F53" s="65">
        <v>3</v>
      </c>
      <c r="G53" s="70">
        <v>90000</v>
      </c>
      <c r="H53" s="21">
        <v>220</v>
      </c>
      <c r="I53" s="21" t="s">
        <v>97</v>
      </c>
      <c r="J53" s="21">
        <v>1000</v>
      </c>
      <c r="K53" s="65">
        <v>1100</v>
      </c>
      <c r="L53" s="21">
        <v>250</v>
      </c>
      <c r="M53" s="27">
        <v>12</v>
      </c>
      <c r="N53" s="27">
        <v>22.8</v>
      </c>
      <c r="O53" s="23">
        <v>13.75</v>
      </c>
      <c r="P53" s="23">
        <v>10.5</v>
      </c>
      <c r="Q53" s="24" t="s">
        <v>98</v>
      </c>
    </row>
    <row r="54" spans="2:17" s="9" customFormat="1" x14ac:dyDescent="0.3">
      <c r="B54" s="32" t="s">
        <v>198</v>
      </c>
      <c r="C54" s="5" t="s">
        <v>186</v>
      </c>
      <c r="D54" s="63">
        <v>20000</v>
      </c>
      <c r="E54" s="6">
        <v>4</v>
      </c>
      <c r="F54" s="65">
        <v>2</v>
      </c>
      <c r="G54" s="70">
        <v>30000</v>
      </c>
      <c r="H54" s="6">
        <v>220</v>
      </c>
      <c r="I54" s="6" t="s">
        <v>97</v>
      </c>
      <c r="J54" s="6">
        <v>1000</v>
      </c>
      <c r="K54" s="65">
        <v>1100</v>
      </c>
      <c r="L54" s="6">
        <v>250</v>
      </c>
      <c r="M54" s="6">
        <v>4</v>
      </c>
      <c r="N54" s="6">
        <v>41</v>
      </c>
      <c r="O54" s="6">
        <v>16.899999999999999</v>
      </c>
      <c r="P54" s="6">
        <v>18</v>
      </c>
      <c r="Q54" s="2" t="s">
        <v>99</v>
      </c>
    </row>
    <row r="55" spans="2:17" s="9" customFormat="1" x14ac:dyDescent="0.3">
      <c r="B55" s="31" t="s">
        <v>199</v>
      </c>
      <c r="C55" s="21" t="s">
        <v>186</v>
      </c>
      <c r="D55" s="63">
        <v>1500</v>
      </c>
      <c r="E55" s="23">
        <v>1</v>
      </c>
      <c r="F55" s="65">
        <v>1</v>
      </c>
      <c r="G55" s="70">
        <v>2100</v>
      </c>
      <c r="H55" s="21">
        <v>220</v>
      </c>
      <c r="I55" s="21" t="s">
        <v>97</v>
      </c>
      <c r="J55" s="21">
        <v>500</v>
      </c>
      <c r="K55" s="65">
        <v>500</v>
      </c>
      <c r="L55" s="21">
        <v>50</v>
      </c>
      <c r="M55" s="27">
        <v>1</v>
      </c>
      <c r="N55" s="27">
        <v>18.2</v>
      </c>
      <c r="O55" s="23">
        <v>16</v>
      </c>
      <c r="P55" s="23">
        <v>18</v>
      </c>
      <c r="Q55" s="24" t="s">
        <v>98</v>
      </c>
    </row>
    <row r="56" spans="2:17" s="9" customFormat="1" x14ac:dyDescent="0.3">
      <c r="B56" s="32" t="s">
        <v>200</v>
      </c>
      <c r="C56" s="5" t="s">
        <v>186</v>
      </c>
      <c r="D56" s="63">
        <v>2000</v>
      </c>
      <c r="E56" s="6">
        <v>1</v>
      </c>
      <c r="F56" s="65">
        <v>1</v>
      </c>
      <c r="G56" s="70">
        <v>2800</v>
      </c>
      <c r="H56" s="5">
        <v>380</v>
      </c>
      <c r="I56" s="5" t="s">
        <v>101</v>
      </c>
      <c r="J56" s="5">
        <v>500</v>
      </c>
      <c r="K56" s="65">
        <v>500</v>
      </c>
      <c r="L56" s="5">
        <v>50</v>
      </c>
      <c r="M56" s="25">
        <v>1</v>
      </c>
      <c r="N56" s="25">
        <v>25</v>
      </c>
      <c r="O56" s="6">
        <v>16</v>
      </c>
      <c r="P56" s="6">
        <v>22</v>
      </c>
      <c r="Q56" s="2" t="s">
        <v>102</v>
      </c>
    </row>
    <row r="57" spans="2:17" s="9" customFormat="1" x14ac:dyDescent="0.3">
      <c r="B57" s="31" t="s">
        <v>201</v>
      </c>
      <c r="C57" s="21" t="s">
        <v>186</v>
      </c>
      <c r="D57" s="63">
        <v>10000</v>
      </c>
      <c r="E57" s="23">
        <v>3</v>
      </c>
      <c r="F57" s="65">
        <v>2</v>
      </c>
      <c r="G57" s="70">
        <v>15000</v>
      </c>
      <c r="H57" s="21">
        <v>220</v>
      </c>
      <c r="I57" s="21" t="s">
        <v>101</v>
      </c>
      <c r="J57" s="21">
        <v>550</v>
      </c>
      <c r="K57" s="65">
        <v>600</v>
      </c>
      <c r="L57" s="21">
        <v>100</v>
      </c>
      <c r="M57" s="27">
        <v>3</v>
      </c>
      <c r="N57" s="27">
        <v>196.8</v>
      </c>
      <c r="O57" s="23">
        <v>16.899999999999999</v>
      </c>
      <c r="P57" s="23">
        <v>100</v>
      </c>
      <c r="Q57" s="24" t="s">
        <v>145</v>
      </c>
    </row>
    <row r="58" spans="2:17" s="9" customFormat="1" x14ac:dyDescent="0.3">
      <c r="B58" s="32" t="s">
        <v>203</v>
      </c>
      <c r="C58" s="5" t="s">
        <v>186</v>
      </c>
      <c r="D58" s="63">
        <v>36000</v>
      </c>
      <c r="E58" s="6">
        <v>12</v>
      </c>
      <c r="F58" s="65">
        <v>3</v>
      </c>
      <c r="G58" s="70">
        <v>54000</v>
      </c>
      <c r="H58" s="5">
        <v>800</v>
      </c>
      <c r="I58" s="5" t="s">
        <v>101</v>
      </c>
      <c r="J58" s="5">
        <v>800</v>
      </c>
      <c r="K58" s="65">
        <v>800</v>
      </c>
      <c r="L58" s="5">
        <v>250</v>
      </c>
      <c r="M58" s="25">
        <v>12</v>
      </c>
      <c r="N58" s="25">
        <v>198.5</v>
      </c>
      <c r="O58" s="6">
        <v>13.75</v>
      </c>
      <c r="P58" s="6">
        <v>106</v>
      </c>
      <c r="Q58" s="2" t="s">
        <v>147</v>
      </c>
    </row>
    <row r="59" spans="2:17" s="9" customFormat="1" x14ac:dyDescent="0.3">
      <c r="B59" s="31" t="s">
        <v>204</v>
      </c>
      <c r="C59" s="21" t="s">
        <v>186</v>
      </c>
      <c r="D59" s="63">
        <v>30000</v>
      </c>
      <c r="E59" s="23">
        <v>12</v>
      </c>
      <c r="F59" s="65">
        <v>3</v>
      </c>
      <c r="G59" s="70">
        <v>45000</v>
      </c>
      <c r="H59" s="21">
        <v>220</v>
      </c>
      <c r="I59" s="21" t="s">
        <v>97</v>
      </c>
      <c r="J59" s="21">
        <v>800</v>
      </c>
      <c r="K59" s="65">
        <v>800</v>
      </c>
      <c r="L59" s="21">
        <v>250</v>
      </c>
      <c r="M59" s="27">
        <v>12</v>
      </c>
      <c r="N59" s="27">
        <v>34.1</v>
      </c>
      <c r="O59" s="23">
        <v>13.75</v>
      </c>
      <c r="P59" s="23">
        <v>18</v>
      </c>
      <c r="Q59" s="24" t="s">
        <v>123</v>
      </c>
    </row>
    <row r="60" spans="2:17" s="9" customFormat="1" x14ac:dyDescent="0.3">
      <c r="B60" s="20" t="s">
        <v>205</v>
      </c>
      <c r="C60" s="5" t="s">
        <v>186</v>
      </c>
      <c r="D60" s="63">
        <v>15000</v>
      </c>
      <c r="E60" s="6">
        <v>8</v>
      </c>
      <c r="F60" s="65">
        <v>4</v>
      </c>
      <c r="G60" s="70">
        <v>22500</v>
      </c>
      <c r="H60" s="5">
        <v>380</v>
      </c>
      <c r="I60" s="5" t="s">
        <v>101</v>
      </c>
      <c r="J60" s="5">
        <v>850</v>
      </c>
      <c r="K60" s="65">
        <v>850</v>
      </c>
      <c r="L60" s="5">
        <v>250</v>
      </c>
      <c r="M60" s="25">
        <v>8</v>
      </c>
      <c r="N60" s="25">
        <v>53.5</v>
      </c>
      <c r="O60" s="6">
        <v>16</v>
      </c>
      <c r="P60" s="6">
        <v>48</v>
      </c>
      <c r="Q60" s="2" t="s">
        <v>150</v>
      </c>
    </row>
    <row r="61" spans="2:17" s="9" customFormat="1" x14ac:dyDescent="0.3">
      <c r="B61" s="33" t="s">
        <v>206</v>
      </c>
      <c r="C61" s="21" t="s">
        <v>186</v>
      </c>
      <c r="D61" s="63">
        <v>20000</v>
      </c>
      <c r="E61" s="23">
        <v>8</v>
      </c>
      <c r="F61" s="65">
        <v>4</v>
      </c>
      <c r="G61" s="70">
        <v>30000</v>
      </c>
      <c r="H61" s="21">
        <v>380</v>
      </c>
      <c r="I61" s="21" t="s">
        <v>101</v>
      </c>
      <c r="J61" s="21">
        <v>850</v>
      </c>
      <c r="K61" s="65">
        <v>850</v>
      </c>
      <c r="L61" s="21">
        <v>250</v>
      </c>
      <c r="M61" s="27">
        <v>8</v>
      </c>
      <c r="N61" s="27">
        <v>83.6</v>
      </c>
      <c r="O61" s="23">
        <v>16</v>
      </c>
      <c r="P61" s="23">
        <v>62</v>
      </c>
      <c r="Q61" s="24" t="s">
        <v>152</v>
      </c>
    </row>
    <row r="62" spans="2:17" s="9" customFormat="1" x14ac:dyDescent="0.3">
      <c r="B62" s="20" t="s">
        <v>207</v>
      </c>
      <c r="C62" s="5" t="s">
        <v>186</v>
      </c>
      <c r="D62" s="63">
        <v>25000</v>
      </c>
      <c r="E62" s="6">
        <v>12</v>
      </c>
      <c r="F62" s="65">
        <v>3</v>
      </c>
      <c r="G62" s="70">
        <v>37500</v>
      </c>
      <c r="H62" s="5">
        <v>220</v>
      </c>
      <c r="I62" s="5" t="s">
        <v>97</v>
      </c>
      <c r="J62" s="5">
        <v>800</v>
      </c>
      <c r="K62" s="65">
        <v>800</v>
      </c>
      <c r="L62" s="5">
        <v>250</v>
      </c>
      <c r="M62" s="25">
        <v>12</v>
      </c>
      <c r="N62" s="25">
        <v>13.7</v>
      </c>
      <c r="O62" s="6">
        <v>13.75</v>
      </c>
      <c r="P62" s="6">
        <v>11.5</v>
      </c>
      <c r="Q62" s="2" t="s">
        <v>98</v>
      </c>
    </row>
    <row r="63" spans="2:17" s="9" customFormat="1" x14ac:dyDescent="0.3">
      <c r="B63" s="33" t="s">
        <v>208</v>
      </c>
      <c r="C63" s="21" t="s">
        <v>186</v>
      </c>
      <c r="D63" s="63">
        <v>2500</v>
      </c>
      <c r="E63" s="23">
        <v>1</v>
      </c>
      <c r="F63" s="65">
        <v>1</v>
      </c>
      <c r="G63" s="70">
        <v>3500</v>
      </c>
      <c r="H63" s="21">
        <v>220</v>
      </c>
      <c r="I63" s="21" t="s">
        <v>97</v>
      </c>
      <c r="J63" s="21">
        <v>550</v>
      </c>
      <c r="K63" s="65">
        <v>550</v>
      </c>
      <c r="L63" s="21">
        <v>80</v>
      </c>
      <c r="M63" s="27">
        <v>1</v>
      </c>
      <c r="N63" s="27">
        <v>18.2</v>
      </c>
      <c r="O63" s="23">
        <v>16</v>
      </c>
      <c r="P63" s="23">
        <v>11.5</v>
      </c>
      <c r="Q63" s="24" t="s">
        <v>98</v>
      </c>
    </row>
    <row r="64" spans="2:17" s="9" customFormat="1" x14ac:dyDescent="0.3">
      <c r="B64" s="20" t="s">
        <v>209</v>
      </c>
      <c r="C64" s="5" t="s">
        <v>186</v>
      </c>
      <c r="D64" s="63">
        <v>36000</v>
      </c>
      <c r="E64" s="6">
        <v>8</v>
      </c>
      <c r="F64" s="65">
        <v>4</v>
      </c>
      <c r="G64" s="70">
        <v>54000</v>
      </c>
      <c r="H64" s="5">
        <v>220</v>
      </c>
      <c r="I64" s="5" t="s">
        <v>97</v>
      </c>
      <c r="J64" s="5">
        <v>1000</v>
      </c>
      <c r="K64" s="65">
        <v>1100</v>
      </c>
      <c r="L64" s="5">
        <v>250</v>
      </c>
      <c r="M64" s="25">
        <v>8</v>
      </c>
      <c r="N64" s="25">
        <v>27.3</v>
      </c>
      <c r="O64" s="6">
        <v>16</v>
      </c>
      <c r="P64" s="6">
        <v>11.5</v>
      </c>
      <c r="Q64" s="2" t="s">
        <v>98</v>
      </c>
    </row>
    <row r="65" spans="2:17" s="9" customFormat="1" x14ac:dyDescent="0.3">
      <c r="B65" s="33" t="s">
        <v>368</v>
      </c>
      <c r="C65" s="21" t="s">
        <v>186</v>
      </c>
      <c r="D65" s="63">
        <v>75000</v>
      </c>
      <c r="E65" s="23">
        <v>0</v>
      </c>
      <c r="F65" s="65">
        <v>0</v>
      </c>
      <c r="G65" s="70">
        <v>0</v>
      </c>
      <c r="H65" s="21">
        <v>380</v>
      </c>
      <c r="I65" s="21" t="s">
        <v>101</v>
      </c>
      <c r="J65" s="21">
        <v>0</v>
      </c>
      <c r="K65" s="65">
        <v>0</v>
      </c>
      <c r="L65" s="21">
        <v>0</v>
      </c>
      <c r="M65" s="27">
        <v>0</v>
      </c>
      <c r="N65" s="27">
        <v>55.2</v>
      </c>
      <c r="O65" s="23">
        <v>0</v>
      </c>
      <c r="P65" s="23">
        <v>50</v>
      </c>
      <c r="Q65" s="24" t="s">
        <v>126</v>
      </c>
    </row>
    <row r="66" spans="2:17" s="9" customFormat="1" x14ac:dyDescent="0.3">
      <c r="B66" s="20" t="s">
        <v>369</v>
      </c>
      <c r="C66" s="5" t="s">
        <v>186</v>
      </c>
      <c r="D66" s="63">
        <v>60000</v>
      </c>
      <c r="E66" s="6">
        <v>0</v>
      </c>
      <c r="F66" s="65">
        <v>0</v>
      </c>
      <c r="G66" s="70">
        <v>0</v>
      </c>
      <c r="H66" s="5">
        <v>380</v>
      </c>
      <c r="I66" s="5" t="s">
        <v>101</v>
      </c>
      <c r="J66" s="5">
        <v>0</v>
      </c>
      <c r="K66" s="65">
        <v>0</v>
      </c>
      <c r="L66" s="5">
        <v>0</v>
      </c>
      <c r="M66" s="25">
        <v>0</v>
      </c>
      <c r="N66" s="25">
        <v>20</v>
      </c>
      <c r="O66" s="6">
        <v>0</v>
      </c>
      <c r="P66" s="6">
        <v>20</v>
      </c>
      <c r="Q66" s="2" t="s">
        <v>98</v>
      </c>
    </row>
    <row r="67" spans="2:17" s="9" customFormat="1" x14ac:dyDescent="0.3">
      <c r="B67" s="33" t="s">
        <v>370</v>
      </c>
      <c r="C67" s="21" t="s">
        <v>186</v>
      </c>
      <c r="D67" s="63">
        <v>50000</v>
      </c>
      <c r="E67" s="23">
        <v>0</v>
      </c>
      <c r="F67" s="65">
        <v>0</v>
      </c>
      <c r="G67" s="70">
        <v>0</v>
      </c>
      <c r="H67" s="21">
        <v>380</v>
      </c>
      <c r="I67" s="21" t="s">
        <v>101</v>
      </c>
      <c r="J67" s="21">
        <v>0</v>
      </c>
      <c r="K67" s="65">
        <v>0</v>
      </c>
      <c r="L67" s="21">
        <v>0</v>
      </c>
      <c r="M67" s="27">
        <v>0</v>
      </c>
      <c r="N67" s="27">
        <v>25</v>
      </c>
      <c r="O67" s="23">
        <v>0</v>
      </c>
      <c r="P67" s="23">
        <v>21</v>
      </c>
      <c r="Q67" s="24" t="s">
        <v>102</v>
      </c>
    </row>
    <row r="68" spans="2:17" s="9" customFormat="1" x14ac:dyDescent="0.3">
      <c r="B68" s="20" t="s">
        <v>371</v>
      </c>
      <c r="C68" s="5" t="s">
        <v>186</v>
      </c>
      <c r="D68" s="63">
        <v>250000</v>
      </c>
      <c r="E68" s="6">
        <v>24</v>
      </c>
      <c r="F68" s="65">
        <v>12</v>
      </c>
      <c r="G68" s="70">
        <v>375000</v>
      </c>
      <c r="H68" s="5">
        <v>220</v>
      </c>
      <c r="I68" s="5" t="s">
        <v>97</v>
      </c>
      <c r="J68" s="5">
        <v>1500</v>
      </c>
      <c r="K68" s="65">
        <v>1500</v>
      </c>
      <c r="L68" s="5">
        <v>500</v>
      </c>
      <c r="M68" s="25">
        <v>24</v>
      </c>
      <c r="N68" s="25">
        <v>18.2</v>
      </c>
      <c r="O68" s="6">
        <v>25</v>
      </c>
      <c r="P68" s="6">
        <v>10</v>
      </c>
      <c r="Q68" s="2" t="s">
        <v>98</v>
      </c>
    </row>
    <row r="69" spans="2:17" s="9" customFormat="1" x14ac:dyDescent="0.3">
      <c r="B69" s="33" t="s">
        <v>372</v>
      </c>
      <c r="C69" s="21" t="s">
        <v>186</v>
      </c>
      <c r="D69" s="63">
        <v>5000</v>
      </c>
      <c r="E69" s="23">
        <v>1</v>
      </c>
      <c r="F69" s="65">
        <v>1</v>
      </c>
      <c r="G69" s="70">
        <v>6000</v>
      </c>
      <c r="H69" s="21">
        <v>220</v>
      </c>
      <c r="I69" s="21" t="s">
        <v>97</v>
      </c>
      <c r="J69" s="21">
        <v>430</v>
      </c>
      <c r="K69" s="65">
        <v>450</v>
      </c>
      <c r="L69" s="21">
        <v>120</v>
      </c>
      <c r="M69" s="27">
        <v>1</v>
      </c>
      <c r="N69" s="27">
        <v>27.3</v>
      </c>
      <c r="O69" s="23">
        <v>100</v>
      </c>
      <c r="P69" s="23">
        <v>10</v>
      </c>
      <c r="Q69" s="24" t="s">
        <v>98</v>
      </c>
    </row>
    <row r="70" spans="2:17" s="9" customFormat="1" x14ac:dyDescent="0.3">
      <c r="B70" s="20" t="s">
        <v>210</v>
      </c>
      <c r="C70" s="5" t="s">
        <v>186</v>
      </c>
      <c r="D70" s="63">
        <v>3000</v>
      </c>
      <c r="E70" s="6">
        <v>1</v>
      </c>
      <c r="F70" s="65">
        <v>1</v>
      </c>
      <c r="G70" s="70">
        <v>4000</v>
      </c>
      <c r="H70" s="5">
        <v>220</v>
      </c>
      <c r="I70" s="5" t="s">
        <v>97</v>
      </c>
      <c r="J70" s="5">
        <v>250</v>
      </c>
      <c r="K70" s="65">
        <v>250</v>
      </c>
      <c r="L70" s="5">
        <v>120</v>
      </c>
      <c r="M70" s="25">
        <v>1</v>
      </c>
      <c r="N70" s="25">
        <v>41</v>
      </c>
      <c r="O70" s="6">
        <v>60</v>
      </c>
      <c r="P70" s="6">
        <v>19</v>
      </c>
      <c r="Q70" s="2" t="s">
        <v>99</v>
      </c>
    </row>
    <row r="71" spans="2:17" s="9" customFormat="1" x14ac:dyDescent="0.3">
      <c r="B71" s="33" t="s">
        <v>211</v>
      </c>
      <c r="C71" s="21" t="s">
        <v>186</v>
      </c>
      <c r="D71" s="63">
        <v>125000</v>
      </c>
      <c r="E71" s="23">
        <v>20</v>
      </c>
      <c r="F71" s="65">
        <v>10</v>
      </c>
      <c r="G71" s="70">
        <v>187500</v>
      </c>
      <c r="H71" s="21">
        <v>380</v>
      </c>
      <c r="I71" s="21" t="s">
        <v>101</v>
      </c>
      <c r="J71" s="21">
        <v>1000</v>
      </c>
      <c r="K71" s="65">
        <v>1100</v>
      </c>
      <c r="L71" s="21">
        <v>195</v>
      </c>
      <c r="M71" s="27">
        <v>20</v>
      </c>
      <c r="N71" s="27">
        <v>83.6</v>
      </c>
      <c r="O71" s="23">
        <v>20</v>
      </c>
      <c r="P71" s="23">
        <v>41</v>
      </c>
      <c r="Q71" s="24" t="s">
        <v>105</v>
      </c>
    </row>
    <row r="72" spans="2:17" s="9" customFormat="1" x14ac:dyDescent="0.3">
      <c r="B72" s="20" t="s">
        <v>212</v>
      </c>
      <c r="C72" s="5" t="s">
        <v>186</v>
      </c>
      <c r="D72" s="63">
        <v>100000</v>
      </c>
      <c r="E72" s="6">
        <v>20</v>
      </c>
      <c r="F72" s="65">
        <v>10</v>
      </c>
      <c r="G72" s="70">
        <v>150000</v>
      </c>
      <c r="H72" s="5">
        <v>380</v>
      </c>
      <c r="I72" s="5" t="s">
        <v>101</v>
      </c>
      <c r="J72" s="5">
        <v>1000</v>
      </c>
      <c r="K72" s="65">
        <v>1100</v>
      </c>
      <c r="L72" s="5">
        <v>195</v>
      </c>
      <c r="M72" s="25">
        <v>20</v>
      </c>
      <c r="N72" s="25">
        <v>66.900000000000006</v>
      </c>
      <c r="O72" s="6">
        <v>20</v>
      </c>
      <c r="P72" s="6">
        <v>40</v>
      </c>
      <c r="Q72" s="2" t="s">
        <v>105</v>
      </c>
    </row>
    <row r="73" spans="2:17" s="9" customFormat="1" x14ac:dyDescent="0.3">
      <c r="B73" s="33" t="s">
        <v>213</v>
      </c>
      <c r="C73" s="21" t="s">
        <v>186</v>
      </c>
      <c r="D73" s="63">
        <v>2000</v>
      </c>
      <c r="E73" s="23">
        <v>4</v>
      </c>
      <c r="F73" s="65">
        <v>4</v>
      </c>
      <c r="G73" s="70">
        <v>3000</v>
      </c>
      <c r="H73" s="21">
        <v>380</v>
      </c>
      <c r="I73" s="21" t="s">
        <v>101</v>
      </c>
      <c r="J73" s="21">
        <v>55</v>
      </c>
      <c r="K73" s="65">
        <v>60</v>
      </c>
      <c r="L73" s="21">
        <v>20</v>
      </c>
      <c r="M73" s="27">
        <v>4</v>
      </c>
      <c r="N73" s="27">
        <v>50.2</v>
      </c>
      <c r="O73" s="23">
        <v>18.8</v>
      </c>
      <c r="P73" s="23">
        <v>38</v>
      </c>
      <c r="Q73" s="24" t="s">
        <v>126</v>
      </c>
    </row>
    <row r="74" spans="2:17" s="9" customFormat="1" x14ac:dyDescent="0.3">
      <c r="B74" s="20" t="s">
        <v>373</v>
      </c>
      <c r="C74" s="5" t="s">
        <v>186</v>
      </c>
      <c r="D74" s="63">
        <v>10000</v>
      </c>
      <c r="E74" s="6">
        <v>6</v>
      </c>
      <c r="F74" s="65">
        <v>3</v>
      </c>
      <c r="G74" s="70">
        <v>15000</v>
      </c>
      <c r="H74" s="5">
        <v>800</v>
      </c>
      <c r="I74" s="5" t="s">
        <v>101</v>
      </c>
      <c r="J74" s="5">
        <v>450</v>
      </c>
      <c r="K74" s="65">
        <v>525</v>
      </c>
      <c r="L74" s="5">
        <v>150</v>
      </c>
      <c r="M74" s="25">
        <v>6</v>
      </c>
      <c r="N74" s="25">
        <v>240.5</v>
      </c>
      <c r="O74" s="6">
        <v>14</v>
      </c>
      <c r="P74" s="6">
        <v>116</v>
      </c>
      <c r="Q74" s="2" t="s">
        <v>128</v>
      </c>
    </row>
    <row r="75" spans="2:17" s="9" customFormat="1" x14ac:dyDescent="0.3">
      <c r="B75" s="33" t="s">
        <v>214</v>
      </c>
      <c r="C75" s="21" t="s">
        <v>186</v>
      </c>
      <c r="D75" s="63">
        <v>25000</v>
      </c>
      <c r="E75" s="23">
        <v>4</v>
      </c>
      <c r="F75" s="65">
        <v>4</v>
      </c>
      <c r="G75" s="70">
        <v>45000</v>
      </c>
      <c r="H75" s="21">
        <v>220</v>
      </c>
      <c r="I75" s="21" t="s">
        <v>101</v>
      </c>
      <c r="J75" s="21">
        <v>1000</v>
      </c>
      <c r="K75" s="65">
        <v>1100</v>
      </c>
      <c r="L75" s="21">
        <v>200</v>
      </c>
      <c r="M75" s="27">
        <v>4</v>
      </c>
      <c r="N75" s="27">
        <v>43.3</v>
      </c>
      <c r="O75" s="23">
        <v>20</v>
      </c>
      <c r="P75" s="23">
        <v>35</v>
      </c>
      <c r="Q75" s="24" t="s">
        <v>102</v>
      </c>
    </row>
    <row r="76" spans="2:17" s="9" customFormat="1" x14ac:dyDescent="0.3">
      <c r="B76" s="20" t="s">
        <v>215</v>
      </c>
      <c r="C76" s="5" t="s">
        <v>186</v>
      </c>
      <c r="D76" s="63">
        <v>20000</v>
      </c>
      <c r="E76" s="6">
        <v>4</v>
      </c>
      <c r="F76" s="65">
        <v>2</v>
      </c>
      <c r="G76" s="70">
        <v>36000</v>
      </c>
      <c r="H76" s="5">
        <v>220</v>
      </c>
      <c r="I76" s="5" t="s">
        <v>101</v>
      </c>
      <c r="J76" s="5">
        <v>1000</v>
      </c>
      <c r="K76" s="65">
        <v>1100</v>
      </c>
      <c r="L76" s="5">
        <v>200</v>
      </c>
      <c r="M76" s="25">
        <v>4</v>
      </c>
      <c r="N76" s="25">
        <v>72.2</v>
      </c>
      <c r="O76" s="6">
        <v>20</v>
      </c>
      <c r="P76" s="6">
        <v>38</v>
      </c>
      <c r="Q76" s="2" t="s">
        <v>126</v>
      </c>
    </row>
    <row r="77" spans="2:17" s="9" customFormat="1" x14ac:dyDescent="0.3">
      <c r="B77" s="33" t="s">
        <v>368</v>
      </c>
      <c r="C77" s="21" t="s">
        <v>186</v>
      </c>
      <c r="D77" s="63">
        <v>75000</v>
      </c>
      <c r="E77" s="23">
        <v>16</v>
      </c>
      <c r="F77" s="65">
        <v>8</v>
      </c>
      <c r="G77" s="70">
        <v>135000</v>
      </c>
      <c r="H77" s="21">
        <v>380</v>
      </c>
      <c r="I77" s="21" t="s">
        <v>101</v>
      </c>
      <c r="J77" s="21">
        <v>800</v>
      </c>
      <c r="K77" s="65">
        <v>800</v>
      </c>
      <c r="L77" s="21">
        <v>195</v>
      </c>
      <c r="M77" s="27">
        <v>16</v>
      </c>
      <c r="N77" s="27">
        <v>113.9</v>
      </c>
      <c r="O77" s="23">
        <v>14.12</v>
      </c>
      <c r="P77" s="23">
        <v>82</v>
      </c>
      <c r="Q77" s="24" t="s">
        <v>168</v>
      </c>
    </row>
    <row r="78" spans="2:17" s="9" customFormat="1" x14ac:dyDescent="0.3">
      <c r="B78" s="20" t="s">
        <v>374</v>
      </c>
      <c r="C78" s="5" t="s">
        <v>186</v>
      </c>
      <c r="D78" s="63">
        <v>73000</v>
      </c>
      <c r="E78" s="6">
        <v>0</v>
      </c>
      <c r="F78" s="65">
        <v>0</v>
      </c>
      <c r="G78" s="70">
        <v>0</v>
      </c>
      <c r="H78" s="5">
        <v>220</v>
      </c>
      <c r="I78" s="5" t="s">
        <v>97</v>
      </c>
      <c r="J78" s="5">
        <v>0</v>
      </c>
      <c r="K78" s="65">
        <v>0</v>
      </c>
      <c r="L78" s="5">
        <v>0</v>
      </c>
      <c r="M78" s="25">
        <v>0</v>
      </c>
      <c r="N78" s="25">
        <v>36.4</v>
      </c>
      <c r="O78" s="6">
        <v>0</v>
      </c>
      <c r="P78" s="6">
        <v>18</v>
      </c>
      <c r="Q78" s="2" t="s">
        <v>123</v>
      </c>
    </row>
    <row r="79" spans="2:17" s="9" customFormat="1" x14ac:dyDescent="0.3">
      <c r="B79" s="33" t="s">
        <v>369</v>
      </c>
      <c r="C79" s="21" t="s">
        <v>186</v>
      </c>
      <c r="D79" s="63">
        <v>60000</v>
      </c>
      <c r="E79" s="23">
        <v>16</v>
      </c>
      <c r="F79" s="65">
        <v>8</v>
      </c>
      <c r="G79" s="70">
        <v>108000</v>
      </c>
      <c r="H79" s="21">
        <v>220</v>
      </c>
      <c r="I79" s="21" t="s">
        <v>97</v>
      </c>
      <c r="J79" s="21">
        <v>800</v>
      </c>
      <c r="K79" s="65">
        <v>800</v>
      </c>
      <c r="L79" s="21">
        <v>195</v>
      </c>
      <c r="M79" s="27">
        <v>16</v>
      </c>
      <c r="N79" s="27">
        <v>13.7</v>
      </c>
      <c r="O79" s="23">
        <v>14.12</v>
      </c>
      <c r="P79" s="23">
        <v>6</v>
      </c>
      <c r="Q79" s="24" t="s">
        <v>104</v>
      </c>
    </row>
    <row r="80" spans="2:17" s="9" customFormat="1" x14ac:dyDescent="0.3">
      <c r="B80" s="20" t="s">
        <v>370</v>
      </c>
      <c r="C80" s="5" t="s">
        <v>186</v>
      </c>
      <c r="D80" s="63">
        <v>50000</v>
      </c>
      <c r="E80" s="6">
        <v>16</v>
      </c>
      <c r="F80" s="65">
        <v>8</v>
      </c>
      <c r="G80" s="70">
        <v>90000</v>
      </c>
      <c r="H80" s="5">
        <v>220</v>
      </c>
      <c r="I80" s="5" t="s">
        <v>97</v>
      </c>
      <c r="J80" s="5">
        <v>800</v>
      </c>
      <c r="K80" s="65">
        <v>800</v>
      </c>
      <c r="L80" s="5">
        <v>195</v>
      </c>
      <c r="M80" s="25">
        <v>16</v>
      </c>
      <c r="N80" s="25">
        <v>27.3</v>
      </c>
      <c r="O80" s="6">
        <v>14.12</v>
      </c>
      <c r="P80" s="6">
        <v>18</v>
      </c>
      <c r="Q80" s="2" t="s">
        <v>98</v>
      </c>
    </row>
    <row r="81" spans="1:17" s="9" customFormat="1" x14ac:dyDescent="0.3">
      <c r="B81" s="33" t="s">
        <v>375</v>
      </c>
      <c r="C81" s="21" t="s">
        <v>186</v>
      </c>
      <c r="D81" s="63">
        <v>25000</v>
      </c>
      <c r="E81" s="23">
        <v>8</v>
      </c>
      <c r="F81" s="65">
        <v>4</v>
      </c>
      <c r="G81" s="70">
        <v>45000</v>
      </c>
      <c r="H81" s="21">
        <v>380</v>
      </c>
      <c r="I81" s="21" t="s">
        <v>101</v>
      </c>
      <c r="J81" s="21">
        <v>800</v>
      </c>
      <c r="K81" s="65">
        <v>800</v>
      </c>
      <c r="L81" s="21">
        <v>200</v>
      </c>
      <c r="M81" s="27">
        <v>8</v>
      </c>
      <c r="N81" s="27">
        <v>60.2</v>
      </c>
      <c r="O81" s="23">
        <v>20</v>
      </c>
      <c r="P81" s="23">
        <v>40</v>
      </c>
      <c r="Q81" s="24" t="s">
        <v>105</v>
      </c>
    </row>
    <row r="82" spans="1:17" s="9" customFormat="1" x14ac:dyDescent="0.3">
      <c r="B82" s="20" t="s">
        <v>376</v>
      </c>
      <c r="C82" s="5" t="s">
        <v>186</v>
      </c>
      <c r="D82" s="63">
        <v>20000</v>
      </c>
      <c r="E82" s="6">
        <v>8</v>
      </c>
      <c r="F82" s="65">
        <v>4</v>
      </c>
      <c r="G82" s="70">
        <v>36000</v>
      </c>
      <c r="H82" s="5">
        <v>380</v>
      </c>
      <c r="I82" s="5" t="s">
        <v>101</v>
      </c>
      <c r="J82" s="5">
        <v>800</v>
      </c>
      <c r="K82" s="65">
        <v>800</v>
      </c>
      <c r="L82" s="5">
        <v>200</v>
      </c>
      <c r="M82" s="25">
        <v>8</v>
      </c>
      <c r="N82" s="25">
        <v>31.9</v>
      </c>
      <c r="O82" s="6">
        <v>20</v>
      </c>
      <c r="P82" s="6">
        <v>22</v>
      </c>
      <c r="Q82" s="2" t="s">
        <v>102</v>
      </c>
    </row>
    <row r="83" spans="1:17" s="9" customFormat="1" x14ac:dyDescent="0.3">
      <c r="B83" s="31" t="s">
        <v>377</v>
      </c>
      <c r="C83" s="21" t="s">
        <v>186</v>
      </c>
      <c r="D83" s="63">
        <v>15000</v>
      </c>
      <c r="E83" s="21">
        <v>8</v>
      </c>
      <c r="F83" s="65">
        <v>4</v>
      </c>
      <c r="G83" s="70">
        <v>27000</v>
      </c>
      <c r="H83" s="21">
        <v>800</v>
      </c>
      <c r="I83" s="21" t="s">
        <v>101</v>
      </c>
      <c r="J83" s="21">
        <v>800</v>
      </c>
      <c r="K83" s="65">
        <v>800</v>
      </c>
      <c r="L83" s="21">
        <v>200</v>
      </c>
      <c r="M83" s="44">
        <v>8</v>
      </c>
      <c r="N83" s="27">
        <v>198.5</v>
      </c>
      <c r="O83" s="23">
        <v>20</v>
      </c>
      <c r="P83" s="23">
        <v>112</v>
      </c>
      <c r="Q83" s="24" t="s">
        <v>175</v>
      </c>
    </row>
    <row r="84" spans="1:17" s="9" customFormat="1" x14ac:dyDescent="0.3">
      <c r="B84" s="32" t="s">
        <v>216</v>
      </c>
      <c r="C84" s="5" t="s">
        <v>186</v>
      </c>
      <c r="D84" s="63">
        <v>10000</v>
      </c>
      <c r="E84" s="5">
        <v>3</v>
      </c>
      <c r="F84" s="65">
        <v>3</v>
      </c>
      <c r="G84" s="70">
        <v>18000</v>
      </c>
      <c r="H84" s="5">
        <v>380</v>
      </c>
      <c r="I84" s="5" t="s">
        <v>101</v>
      </c>
      <c r="J84" s="5">
        <v>550</v>
      </c>
      <c r="K84" s="65">
        <v>600</v>
      </c>
      <c r="L84" s="5">
        <v>80</v>
      </c>
      <c r="M84" s="25">
        <v>3</v>
      </c>
      <c r="N84" s="25">
        <v>160.4</v>
      </c>
      <c r="O84" s="6">
        <v>24</v>
      </c>
      <c r="P84" s="6">
        <v>93</v>
      </c>
      <c r="Q84" s="2" t="s">
        <v>177</v>
      </c>
    </row>
    <row r="85" spans="1:17" s="9" customFormat="1" x14ac:dyDescent="0.3">
      <c r="B85" s="33" t="s">
        <v>217</v>
      </c>
      <c r="C85" s="21" t="s">
        <v>186</v>
      </c>
      <c r="D85" s="63">
        <v>8000</v>
      </c>
      <c r="E85" s="21">
        <v>3</v>
      </c>
      <c r="F85" s="65">
        <v>3</v>
      </c>
      <c r="G85" s="70">
        <v>14400</v>
      </c>
      <c r="H85" s="21">
        <v>380</v>
      </c>
      <c r="I85" s="21" t="s">
        <v>101</v>
      </c>
      <c r="J85" s="21">
        <v>550</v>
      </c>
      <c r="K85" s="65">
        <v>600</v>
      </c>
      <c r="L85" s="21">
        <v>80</v>
      </c>
      <c r="M85" s="27">
        <v>3</v>
      </c>
      <c r="N85" s="27">
        <v>113.6</v>
      </c>
      <c r="O85" s="23">
        <v>24</v>
      </c>
      <c r="P85" s="23">
        <v>90</v>
      </c>
      <c r="Q85" s="24" t="s">
        <v>177</v>
      </c>
    </row>
    <row r="86" spans="1:17" s="9" customFormat="1" x14ac:dyDescent="0.3">
      <c r="B86" s="33" t="s">
        <v>218</v>
      </c>
      <c r="C86" s="21" t="s">
        <v>186</v>
      </c>
      <c r="D86" s="63">
        <v>6000</v>
      </c>
      <c r="E86" s="21">
        <v>2</v>
      </c>
      <c r="F86" s="65">
        <v>2</v>
      </c>
      <c r="G86" s="70">
        <v>10800</v>
      </c>
      <c r="H86" s="21">
        <v>220</v>
      </c>
      <c r="I86" s="21" t="s">
        <v>97</v>
      </c>
      <c r="J86" s="21">
        <v>550</v>
      </c>
      <c r="K86" s="65">
        <v>550</v>
      </c>
      <c r="L86" s="21">
        <v>50</v>
      </c>
      <c r="M86" s="22">
        <v>2</v>
      </c>
      <c r="N86" s="27">
        <v>25</v>
      </c>
      <c r="O86" s="23">
        <v>24</v>
      </c>
      <c r="P86" s="23"/>
      <c r="Q86" s="24"/>
    </row>
    <row r="87" spans="1:17" s="9" customFormat="1" x14ac:dyDescent="0.3">
      <c r="B87" s="33" t="s">
        <v>219</v>
      </c>
      <c r="C87" s="21" t="s">
        <v>186</v>
      </c>
      <c r="D87" s="63">
        <v>5000</v>
      </c>
      <c r="E87" s="21">
        <v>2</v>
      </c>
      <c r="F87" s="65">
        <v>2</v>
      </c>
      <c r="G87" s="70">
        <v>9000</v>
      </c>
      <c r="H87" s="21">
        <v>220</v>
      </c>
      <c r="I87" s="21" t="s">
        <v>97</v>
      </c>
      <c r="J87" s="21">
        <v>550</v>
      </c>
      <c r="K87" s="65">
        <v>550</v>
      </c>
      <c r="L87" s="21">
        <v>50</v>
      </c>
      <c r="M87" s="22">
        <v>2</v>
      </c>
      <c r="N87" s="22">
        <v>27.3</v>
      </c>
      <c r="O87" s="23">
        <v>24</v>
      </c>
      <c r="P87" s="23"/>
      <c r="Q87" s="24"/>
    </row>
    <row r="88" spans="1:17" s="9" customFormat="1" x14ac:dyDescent="0.3">
      <c r="B88" s="33" t="s">
        <v>220</v>
      </c>
      <c r="C88" s="21" t="s">
        <v>186</v>
      </c>
      <c r="D88" s="63">
        <v>3000</v>
      </c>
      <c r="E88" s="21">
        <v>1</v>
      </c>
      <c r="F88" s="65">
        <v>1</v>
      </c>
      <c r="G88" s="70">
        <v>5400</v>
      </c>
      <c r="H88" s="21">
        <v>220</v>
      </c>
      <c r="I88" s="21" t="s">
        <v>97</v>
      </c>
      <c r="J88" s="21">
        <v>550</v>
      </c>
      <c r="K88" s="65">
        <v>550</v>
      </c>
      <c r="L88" s="21">
        <v>50</v>
      </c>
      <c r="M88" s="27">
        <v>1</v>
      </c>
      <c r="N88" s="44">
        <v>34.090000000000003</v>
      </c>
      <c r="O88" s="23">
        <v>24</v>
      </c>
      <c r="P88" s="23"/>
      <c r="Q88" s="24"/>
    </row>
    <row r="89" spans="1:17" s="9" customFormat="1" x14ac:dyDescent="0.3">
      <c r="B89" s="33" t="s">
        <v>221</v>
      </c>
      <c r="C89" s="21" t="s">
        <v>186</v>
      </c>
      <c r="D89" s="63">
        <v>36000</v>
      </c>
      <c r="E89" s="21">
        <v>6</v>
      </c>
      <c r="F89" s="65">
        <v>3</v>
      </c>
      <c r="G89" s="70">
        <v>54000</v>
      </c>
      <c r="H89" s="21">
        <v>220</v>
      </c>
      <c r="I89" s="21" t="s">
        <v>97</v>
      </c>
      <c r="J89" s="21">
        <v>1000</v>
      </c>
      <c r="K89" s="65">
        <v>1100</v>
      </c>
      <c r="L89" s="21">
        <v>200</v>
      </c>
      <c r="M89" s="27">
        <v>6</v>
      </c>
      <c r="N89" s="27">
        <v>40</v>
      </c>
      <c r="O89" s="23">
        <v>20</v>
      </c>
      <c r="P89" s="23"/>
      <c r="Q89" s="24"/>
    </row>
    <row r="90" spans="1:17" s="9" customFormat="1" x14ac:dyDescent="0.3">
      <c r="B90" s="33" t="s">
        <v>222</v>
      </c>
      <c r="C90" s="21" t="s">
        <v>186</v>
      </c>
      <c r="D90" s="63">
        <v>15000</v>
      </c>
      <c r="E90" s="21">
        <v>2</v>
      </c>
      <c r="F90" s="65">
        <v>2</v>
      </c>
      <c r="G90" s="70">
        <v>25500</v>
      </c>
      <c r="H90" s="21">
        <v>220</v>
      </c>
      <c r="I90" s="21" t="s">
        <v>97</v>
      </c>
      <c r="J90" s="21">
        <v>1000</v>
      </c>
      <c r="K90" s="65">
        <v>1100</v>
      </c>
      <c r="L90" s="21">
        <v>160</v>
      </c>
      <c r="M90" s="27">
        <v>2</v>
      </c>
      <c r="N90" s="22">
        <v>45.5</v>
      </c>
      <c r="O90" s="23">
        <v>25</v>
      </c>
      <c r="P90" s="23"/>
      <c r="Q90" s="24"/>
    </row>
    <row r="91" spans="1:17" s="9" customFormat="1" x14ac:dyDescent="0.3">
      <c r="B91" s="33" t="s">
        <v>378</v>
      </c>
      <c r="C91" s="21" t="s">
        <v>186</v>
      </c>
      <c r="D91" s="63">
        <v>10000</v>
      </c>
      <c r="E91" s="21">
        <v>6</v>
      </c>
      <c r="F91" s="65">
        <v>3</v>
      </c>
      <c r="G91" s="70">
        <v>15000</v>
      </c>
      <c r="H91" s="21">
        <v>220</v>
      </c>
      <c r="I91" s="21" t="s">
        <v>97</v>
      </c>
      <c r="J91" s="21">
        <v>450</v>
      </c>
      <c r="K91" s="65">
        <v>525</v>
      </c>
      <c r="L91" s="21">
        <v>150</v>
      </c>
      <c r="M91" s="22">
        <v>6</v>
      </c>
      <c r="N91" s="27">
        <v>15</v>
      </c>
      <c r="O91" s="23">
        <v>13.5</v>
      </c>
      <c r="P91" s="23"/>
      <c r="Q91" s="24"/>
    </row>
    <row r="92" spans="1:17" s="9" customFormat="1" x14ac:dyDescent="0.3">
      <c r="B92" s="33" t="s">
        <v>379</v>
      </c>
      <c r="C92" s="21" t="s">
        <v>186</v>
      </c>
      <c r="D92" s="63">
        <v>2250</v>
      </c>
      <c r="E92" s="23">
        <v>4</v>
      </c>
      <c r="F92" s="65">
        <v>4</v>
      </c>
      <c r="G92" s="70">
        <v>3375</v>
      </c>
      <c r="H92" s="23">
        <v>220</v>
      </c>
      <c r="I92" s="23" t="s">
        <v>97</v>
      </c>
      <c r="J92" s="23">
        <v>55</v>
      </c>
      <c r="K92" s="65">
        <v>60</v>
      </c>
      <c r="L92" s="23">
        <v>20</v>
      </c>
      <c r="M92" s="23">
        <v>4</v>
      </c>
      <c r="N92" s="23">
        <v>27.2</v>
      </c>
      <c r="O92" s="23">
        <v>20</v>
      </c>
      <c r="P92" s="23">
        <v>10.8</v>
      </c>
      <c r="Q92" s="24" t="s">
        <v>98</v>
      </c>
    </row>
    <row r="93" spans="1:17" s="9" customFormat="1" x14ac:dyDescent="0.3">
      <c r="A93" s="13"/>
      <c r="B93" s="32" t="s">
        <v>380</v>
      </c>
      <c r="C93" s="5" t="s">
        <v>186</v>
      </c>
      <c r="D93" s="63">
        <v>2500</v>
      </c>
      <c r="E93" s="5">
        <v>4</v>
      </c>
      <c r="F93" s="65">
        <v>4</v>
      </c>
      <c r="G93" s="70">
        <v>3750</v>
      </c>
      <c r="H93" s="5">
        <v>220</v>
      </c>
      <c r="I93" s="5" t="s">
        <v>97</v>
      </c>
      <c r="J93" s="5">
        <v>55</v>
      </c>
      <c r="K93" s="65">
        <v>60</v>
      </c>
      <c r="L93" s="5">
        <v>20</v>
      </c>
      <c r="M93" s="25">
        <v>4</v>
      </c>
      <c r="N93" s="25">
        <v>13.6</v>
      </c>
      <c r="O93" s="6">
        <v>20</v>
      </c>
      <c r="P93" s="6">
        <v>10.8</v>
      </c>
      <c r="Q93" s="2" t="s">
        <v>98</v>
      </c>
    </row>
    <row r="94" spans="1:17" s="9" customFormat="1" x14ac:dyDescent="0.3">
      <c r="A94" s="13"/>
      <c r="B94" s="33" t="s">
        <v>223</v>
      </c>
      <c r="C94" s="21" t="s">
        <v>186</v>
      </c>
      <c r="D94" s="63">
        <v>125000</v>
      </c>
      <c r="E94" s="23">
        <v>16</v>
      </c>
      <c r="F94" s="65">
        <v>8</v>
      </c>
      <c r="G94" s="70">
        <v>200000</v>
      </c>
      <c r="H94" s="23">
        <v>220</v>
      </c>
      <c r="I94" s="23" t="s">
        <v>97</v>
      </c>
      <c r="J94" s="23">
        <v>1000</v>
      </c>
      <c r="K94" s="65">
        <v>1100</v>
      </c>
      <c r="L94" s="23">
        <v>195</v>
      </c>
      <c r="M94" s="23">
        <v>16</v>
      </c>
      <c r="N94" s="23">
        <v>38.299999999999997</v>
      </c>
      <c r="O94" s="23">
        <v>28.25</v>
      </c>
      <c r="P94" s="23">
        <v>18.2</v>
      </c>
      <c r="Q94" s="24" t="s">
        <v>123</v>
      </c>
    </row>
    <row r="95" spans="1:17" s="9" customFormat="1" x14ac:dyDescent="0.3">
      <c r="A95" s="13"/>
      <c r="B95" s="32" t="s">
        <v>224</v>
      </c>
      <c r="C95" s="5" t="s">
        <v>186</v>
      </c>
      <c r="D95" s="63">
        <v>7500</v>
      </c>
      <c r="E95" s="5">
        <v>2</v>
      </c>
      <c r="F95" s="65">
        <v>2</v>
      </c>
      <c r="G95" s="70">
        <v>13500</v>
      </c>
      <c r="H95" s="5">
        <v>220</v>
      </c>
      <c r="I95" s="5" t="s">
        <v>97</v>
      </c>
      <c r="J95" s="5">
        <v>550</v>
      </c>
      <c r="K95" s="65">
        <v>600</v>
      </c>
      <c r="L95" s="5">
        <v>80</v>
      </c>
      <c r="M95" s="25">
        <v>2</v>
      </c>
      <c r="N95" s="26">
        <v>22.7</v>
      </c>
      <c r="O95" s="6">
        <v>24</v>
      </c>
      <c r="P95" s="6">
        <v>10.8</v>
      </c>
      <c r="Q95" s="2" t="s">
        <v>98</v>
      </c>
    </row>
    <row r="96" spans="1:17" s="9" customFormat="1" x14ac:dyDescent="0.3">
      <c r="A96" s="13"/>
      <c r="B96" s="33" t="s">
        <v>381</v>
      </c>
      <c r="C96" s="21" t="s">
        <v>186</v>
      </c>
      <c r="D96" s="63">
        <v>40000</v>
      </c>
      <c r="E96" s="23">
        <v>8</v>
      </c>
      <c r="F96" s="65">
        <v>4</v>
      </c>
      <c r="G96" s="70">
        <v>72000</v>
      </c>
      <c r="H96" s="23">
        <v>230</v>
      </c>
      <c r="I96" s="23" t="s">
        <v>97</v>
      </c>
      <c r="J96" s="23">
        <v>1000</v>
      </c>
      <c r="K96" s="65">
        <v>1100</v>
      </c>
      <c r="L96" s="23">
        <v>200</v>
      </c>
      <c r="M96" s="23">
        <v>8</v>
      </c>
      <c r="N96" s="23">
        <v>60</v>
      </c>
      <c r="O96" s="23">
        <v>20</v>
      </c>
      <c r="P96" s="23">
        <v>11.5</v>
      </c>
      <c r="Q96" s="24" t="s">
        <v>104</v>
      </c>
    </row>
    <row r="97" spans="1:17" s="9" customFormat="1" x14ac:dyDescent="0.3">
      <c r="A97" s="13"/>
      <c r="B97" s="20" t="s">
        <v>382</v>
      </c>
      <c r="C97" s="5" t="s">
        <v>186</v>
      </c>
      <c r="D97" s="63">
        <v>30000</v>
      </c>
      <c r="E97" s="5">
        <v>10</v>
      </c>
      <c r="F97" s="65">
        <v>3</v>
      </c>
      <c r="G97" s="70">
        <v>54000</v>
      </c>
      <c r="H97" s="5">
        <v>220</v>
      </c>
      <c r="I97" s="5" t="s">
        <v>97</v>
      </c>
      <c r="J97" s="5">
        <v>800</v>
      </c>
      <c r="K97" s="65">
        <v>800</v>
      </c>
      <c r="L97" s="5">
        <v>250</v>
      </c>
      <c r="M97" s="25">
        <v>10</v>
      </c>
      <c r="N97" s="25">
        <v>14.3</v>
      </c>
      <c r="O97" s="6">
        <v>20</v>
      </c>
      <c r="P97" s="6">
        <v>6.2</v>
      </c>
      <c r="Q97" s="2" t="s">
        <v>104</v>
      </c>
    </row>
    <row r="98" spans="1:17" s="9" customFormat="1" x14ac:dyDescent="0.3">
      <c r="A98" s="13"/>
      <c r="B98" s="31" t="s">
        <v>383</v>
      </c>
      <c r="C98" s="21" t="s">
        <v>186</v>
      </c>
      <c r="D98" s="63">
        <v>36000</v>
      </c>
      <c r="E98" s="23">
        <v>10</v>
      </c>
      <c r="F98" s="65">
        <v>3</v>
      </c>
      <c r="G98" s="70">
        <v>64800</v>
      </c>
      <c r="H98" s="23">
        <v>380</v>
      </c>
      <c r="I98" s="23" t="s">
        <v>101</v>
      </c>
      <c r="J98" s="23">
        <v>800</v>
      </c>
      <c r="K98" s="65">
        <v>800</v>
      </c>
      <c r="L98" s="23">
        <v>250</v>
      </c>
      <c r="M98" s="23">
        <v>10</v>
      </c>
      <c r="N98" s="23">
        <v>24.2</v>
      </c>
      <c r="O98" s="23">
        <v>20</v>
      </c>
      <c r="P98" s="23">
        <v>23</v>
      </c>
      <c r="Q98" s="24" t="s">
        <v>102</v>
      </c>
    </row>
    <row r="99" spans="1:17" s="9" customFormat="1" x14ac:dyDescent="0.3">
      <c r="A99" s="13"/>
      <c r="B99" s="20" t="s">
        <v>384</v>
      </c>
      <c r="C99" s="5" t="s">
        <v>186</v>
      </c>
      <c r="D99" s="63">
        <v>60000</v>
      </c>
      <c r="E99" s="5">
        <v>10</v>
      </c>
      <c r="F99" s="65">
        <v>3</v>
      </c>
      <c r="G99" s="70">
        <v>96000</v>
      </c>
      <c r="H99" s="5">
        <v>380</v>
      </c>
      <c r="I99" s="5" t="s">
        <v>101</v>
      </c>
      <c r="J99" s="5">
        <v>1000</v>
      </c>
      <c r="K99" s="65">
        <v>1100</v>
      </c>
      <c r="L99" s="5">
        <v>250</v>
      </c>
      <c r="M99" s="26">
        <v>10</v>
      </c>
      <c r="N99" s="25">
        <v>40.200000000000003</v>
      </c>
      <c r="O99" s="6">
        <v>16</v>
      </c>
      <c r="P99" s="6">
        <v>23</v>
      </c>
      <c r="Q99" s="2" t="s">
        <v>193</v>
      </c>
    </row>
    <row r="100" spans="1:17" s="9" customFormat="1" x14ac:dyDescent="0.3">
      <c r="A100" s="13"/>
      <c r="B100" s="31" t="s">
        <v>341</v>
      </c>
      <c r="C100" s="21" t="s">
        <v>413</v>
      </c>
      <c r="D100" s="63">
        <v>2250</v>
      </c>
      <c r="E100" s="23">
        <v>4</v>
      </c>
      <c r="F100" s="63">
        <v>4</v>
      </c>
      <c r="G100" s="70">
        <v>3000</v>
      </c>
      <c r="H100" s="23">
        <v>380</v>
      </c>
      <c r="I100" s="23" t="s">
        <v>101</v>
      </c>
      <c r="J100" s="23">
        <v>60</v>
      </c>
      <c r="K100" s="63">
        <v>65</v>
      </c>
      <c r="L100" s="23">
        <v>22</v>
      </c>
      <c r="M100" s="23">
        <v>4</v>
      </c>
      <c r="N100" s="23">
        <v>120.8</v>
      </c>
      <c r="O100" s="23">
        <v>25</v>
      </c>
      <c r="P100" s="23">
        <v>86</v>
      </c>
      <c r="Q100" s="24" t="s">
        <v>195</v>
      </c>
    </row>
    <row r="101" spans="1:17" s="9" customFormat="1" x14ac:dyDescent="0.3">
      <c r="A101" s="13"/>
      <c r="B101" s="20" t="s">
        <v>342</v>
      </c>
      <c r="C101" s="5" t="s">
        <v>413</v>
      </c>
      <c r="D101" s="63">
        <v>7500</v>
      </c>
      <c r="E101" s="5">
        <v>4</v>
      </c>
      <c r="F101" s="63">
        <v>2</v>
      </c>
      <c r="G101" s="70">
        <v>11520</v>
      </c>
      <c r="H101" s="5">
        <v>380</v>
      </c>
      <c r="I101" s="5" t="s">
        <v>101</v>
      </c>
      <c r="J101" s="5">
        <v>500</v>
      </c>
      <c r="K101" s="63">
        <v>550</v>
      </c>
      <c r="L101" s="5">
        <v>150</v>
      </c>
      <c r="M101" s="25">
        <v>4</v>
      </c>
      <c r="N101" s="25">
        <v>96.6</v>
      </c>
      <c r="O101" s="6">
        <v>20</v>
      </c>
      <c r="P101" s="6">
        <v>52</v>
      </c>
      <c r="Q101" s="2" t="s">
        <v>197</v>
      </c>
    </row>
    <row r="102" spans="1:17" s="9" customFormat="1" x14ac:dyDescent="0.3">
      <c r="A102" s="13"/>
      <c r="B102" s="31" t="s">
        <v>173</v>
      </c>
      <c r="C102" s="21" t="s">
        <v>174</v>
      </c>
      <c r="D102" s="63">
        <v>250000</v>
      </c>
      <c r="E102" s="23">
        <v>28</v>
      </c>
      <c r="F102" s="65">
        <v>6</v>
      </c>
      <c r="G102" s="70">
        <v>375000</v>
      </c>
      <c r="H102" s="23">
        <v>380</v>
      </c>
      <c r="I102" s="23" t="s">
        <v>101</v>
      </c>
      <c r="J102" s="23">
        <v>1500</v>
      </c>
      <c r="K102" s="65">
        <v>1500</v>
      </c>
      <c r="L102" s="23">
        <v>550</v>
      </c>
      <c r="M102" s="23">
        <v>28</v>
      </c>
      <c r="N102" s="23">
        <v>31.9</v>
      </c>
      <c r="O102" s="23">
        <v>23</v>
      </c>
      <c r="P102" s="23">
        <v>23</v>
      </c>
      <c r="Q102" s="24" t="s">
        <v>102</v>
      </c>
    </row>
    <row r="103" spans="1:17" s="9" customFormat="1" x14ac:dyDescent="0.3">
      <c r="A103" s="13"/>
      <c r="B103" s="20" t="s">
        <v>176</v>
      </c>
      <c r="C103" s="5" t="s">
        <v>174</v>
      </c>
      <c r="D103" s="63">
        <v>100000</v>
      </c>
      <c r="E103" s="5">
        <v>20</v>
      </c>
      <c r="F103" s="65">
        <v>10</v>
      </c>
      <c r="G103" s="70">
        <v>150000</v>
      </c>
      <c r="H103" s="5">
        <v>220</v>
      </c>
      <c r="I103" s="5" t="s">
        <v>97</v>
      </c>
      <c r="J103" s="5">
        <v>1000</v>
      </c>
      <c r="K103" s="65">
        <v>1100</v>
      </c>
      <c r="L103" s="5">
        <v>200</v>
      </c>
      <c r="M103" s="25">
        <v>20</v>
      </c>
      <c r="N103" s="25">
        <v>7.1</v>
      </c>
      <c r="O103" s="6">
        <v>20</v>
      </c>
      <c r="P103" s="6">
        <v>6</v>
      </c>
      <c r="Q103" s="2" t="s">
        <v>104</v>
      </c>
    </row>
    <row r="104" spans="1:17" s="9" customFormat="1" x14ac:dyDescent="0.3">
      <c r="A104" s="13"/>
      <c r="B104" s="31" t="s">
        <v>178</v>
      </c>
      <c r="C104" s="21" t="s">
        <v>174</v>
      </c>
      <c r="D104" s="63">
        <v>75000</v>
      </c>
      <c r="E104" s="23">
        <v>20</v>
      </c>
      <c r="F104" s="65">
        <v>10</v>
      </c>
      <c r="G104" s="70">
        <v>135000</v>
      </c>
      <c r="H104" s="23">
        <v>220</v>
      </c>
      <c r="I104" s="23" t="s">
        <v>97</v>
      </c>
      <c r="J104" s="23">
        <v>1000</v>
      </c>
      <c r="K104" s="65">
        <v>1100</v>
      </c>
      <c r="L104" s="23">
        <v>200</v>
      </c>
      <c r="M104" s="23">
        <v>20</v>
      </c>
      <c r="N104" s="23">
        <v>9.5</v>
      </c>
      <c r="O104" s="23">
        <v>20</v>
      </c>
      <c r="P104" s="23">
        <v>6</v>
      </c>
      <c r="Q104" s="24" t="s">
        <v>104</v>
      </c>
    </row>
    <row r="105" spans="1:17" s="9" customFormat="1" x14ac:dyDescent="0.3">
      <c r="A105" s="13"/>
      <c r="B105" s="20" t="s">
        <v>184</v>
      </c>
      <c r="C105" s="5" t="s">
        <v>174</v>
      </c>
      <c r="D105" s="63">
        <v>3000</v>
      </c>
      <c r="E105" s="5">
        <v>2</v>
      </c>
      <c r="F105" s="65">
        <v>2</v>
      </c>
      <c r="G105" s="70">
        <v>4500</v>
      </c>
      <c r="H105" s="5">
        <v>220</v>
      </c>
      <c r="I105" s="5" t="s">
        <v>97</v>
      </c>
      <c r="J105" s="5">
        <v>530</v>
      </c>
      <c r="K105" s="65">
        <v>600</v>
      </c>
      <c r="L105" s="5">
        <v>100</v>
      </c>
      <c r="M105" s="25">
        <v>2</v>
      </c>
      <c r="N105" s="25">
        <v>45.5</v>
      </c>
      <c r="O105" s="6">
        <v>20</v>
      </c>
      <c r="P105" s="6">
        <v>18.2</v>
      </c>
      <c r="Q105" s="2" t="s">
        <v>202</v>
      </c>
    </row>
    <row r="106" spans="1:17" x14ac:dyDescent="0.3">
      <c r="A106" s="9"/>
      <c r="B106" s="33" t="s">
        <v>179</v>
      </c>
      <c r="C106" s="21" t="s">
        <v>174</v>
      </c>
      <c r="D106" s="63">
        <v>5000</v>
      </c>
      <c r="E106" s="23">
        <v>2</v>
      </c>
      <c r="F106" s="65">
        <v>2</v>
      </c>
      <c r="G106" s="70">
        <v>7500</v>
      </c>
      <c r="H106" s="23">
        <v>220</v>
      </c>
      <c r="I106" s="23" t="s">
        <v>101</v>
      </c>
      <c r="J106" s="23">
        <v>530</v>
      </c>
      <c r="K106" s="65">
        <v>600</v>
      </c>
      <c r="L106" s="23">
        <v>100</v>
      </c>
      <c r="M106" s="23">
        <v>2</v>
      </c>
      <c r="N106" s="23">
        <v>94.5</v>
      </c>
      <c r="O106" s="23">
        <v>20</v>
      </c>
      <c r="P106" s="23">
        <v>52</v>
      </c>
      <c r="Q106" s="24" t="s">
        <v>197</v>
      </c>
    </row>
    <row r="107" spans="1:17" s="9" customFormat="1" ht="15" customHeight="1" x14ac:dyDescent="0.3">
      <c r="B107" s="32" t="s">
        <v>180</v>
      </c>
      <c r="C107" s="5" t="s">
        <v>174</v>
      </c>
      <c r="D107" s="63">
        <v>6000</v>
      </c>
      <c r="E107" s="5">
        <v>2</v>
      </c>
      <c r="F107" s="65">
        <v>2</v>
      </c>
      <c r="G107" s="70">
        <v>9000</v>
      </c>
      <c r="H107" s="5">
        <v>220</v>
      </c>
      <c r="I107" s="5" t="s">
        <v>101</v>
      </c>
      <c r="J107" s="5">
        <v>530</v>
      </c>
      <c r="K107" s="65">
        <v>600</v>
      </c>
      <c r="L107" s="5">
        <v>100</v>
      </c>
      <c r="M107" s="25">
        <v>2</v>
      </c>
      <c r="N107" s="25">
        <v>87.4</v>
      </c>
      <c r="O107" s="6">
        <v>20</v>
      </c>
      <c r="P107" s="6">
        <v>52</v>
      </c>
      <c r="Q107" s="2" t="s">
        <v>197</v>
      </c>
    </row>
    <row r="108" spans="1:17" x14ac:dyDescent="0.3">
      <c r="A108" s="9"/>
      <c r="B108" s="33" t="s">
        <v>183</v>
      </c>
      <c r="C108" s="21" t="s">
        <v>174</v>
      </c>
      <c r="D108" s="63">
        <v>10000</v>
      </c>
      <c r="E108" s="23">
        <v>3</v>
      </c>
      <c r="F108" s="65">
        <v>3</v>
      </c>
      <c r="G108" s="70">
        <v>15000</v>
      </c>
      <c r="H108" s="23">
        <v>220</v>
      </c>
      <c r="I108" s="23" t="s">
        <v>101</v>
      </c>
      <c r="J108" s="23">
        <v>560</v>
      </c>
      <c r="K108" s="65">
        <v>600</v>
      </c>
      <c r="L108" s="23">
        <v>50</v>
      </c>
      <c r="M108" s="23">
        <v>3</v>
      </c>
      <c r="N108" s="23">
        <v>43.7</v>
      </c>
      <c r="O108" s="23">
        <v>20</v>
      </c>
      <c r="P108" s="23">
        <v>31</v>
      </c>
      <c r="Q108" s="24" t="s">
        <v>105</v>
      </c>
    </row>
    <row r="109" spans="1:17" s="9" customFormat="1" x14ac:dyDescent="0.3">
      <c r="B109" s="32" t="s">
        <v>181</v>
      </c>
      <c r="C109" s="5" t="s">
        <v>174</v>
      </c>
      <c r="D109" s="63">
        <v>7500</v>
      </c>
      <c r="E109" s="5">
        <v>3</v>
      </c>
      <c r="F109" s="65">
        <v>3</v>
      </c>
      <c r="G109" s="70">
        <v>11250</v>
      </c>
      <c r="H109" s="5">
        <v>220</v>
      </c>
      <c r="I109" s="5" t="s">
        <v>101</v>
      </c>
      <c r="J109" s="5">
        <v>560</v>
      </c>
      <c r="K109" s="65">
        <v>600</v>
      </c>
      <c r="L109" s="5">
        <v>50</v>
      </c>
      <c r="M109" s="25">
        <v>3</v>
      </c>
      <c r="N109" s="25">
        <v>58.3</v>
      </c>
      <c r="O109" s="6">
        <v>20</v>
      </c>
      <c r="P109" s="6">
        <v>31</v>
      </c>
      <c r="Q109" s="2" t="s">
        <v>105</v>
      </c>
    </row>
    <row r="110" spans="1:17" x14ac:dyDescent="0.3">
      <c r="A110" s="9"/>
      <c r="B110" s="33" t="s">
        <v>182</v>
      </c>
      <c r="C110" s="21" t="s">
        <v>174</v>
      </c>
      <c r="D110" s="63">
        <v>8000</v>
      </c>
      <c r="E110" s="23">
        <v>3</v>
      </c>
      <c r="F110" s="65">
        <v>3</v>
      </c>
      <c r="G110" s="70">
        <v>12000</v>
      </c>
      <c r="H110" s="23">
        <v>220</v>
      </c>
      <c r="I110" s="23" t="s">
        <v>101</v>
      </c>
      <c r="J110" s="23">
        <v>560</v>
      </c>
      <c r="K110" s="65">
        <v>600</v>
      </c>
      <c r="L110" s="23">
        <v>50</v>
      </c>
      <c r="M110" s="23">
        <v>3</v>
      </c>
      <c r="N110" s="23">
        <v>73</v>
      </c>
      <c r="O110" s="23">
        <v>20</v>
      </c>
      <c r="P110" s="23">
        <v>52</v>
      </c>
      <c r="Q110" s="24" t="s">
        <v>197</v>
      </c>
    </row>
    <row r="111" spans="1:17" s="9" customFormat="1" x14ac:dyDescent="0.3">
      <c r="B111" s="20" t="s">
        <v>385</v>
      </c>
      <c r="C111" s="5" t="s">
        <v>174</v>
      </c>
      <c r="D111" s="63">
        <v>15000</v>
      </c>
      <c r="E111" s="5">
        <v>4</v>
      </c>
      <c r="F111" s="65">
        <v>2</v>
      </c>
      <c r="G111" s="70">
        <v>22500</v>
      </c>
      <c r="H111" s="5">
        <v>220</v>
      </c>
      <c r="I111" s="5" t="s">
        <v>97</v>
      </c>
      <c r="J111" s="5">
        <v>1000</v>
      </c>
      <c r="K111" s="65">
        <v>1100</v>
      </c>
      <c r="L111" s="5">
        <v>200</v>
      </c>
      <c r="M111" s="25">
        <v>4</v>
      </c>
      <c r="N111" s="25">
        <v>11.9</v>
      </c>
      <c r="O111" s="6">
        <v>20</v>
      </c>
      <c r="P111" s="6">
        <v>6.2</v>
      </c>
      <c r="Q111" s="2" t="s">
        <v>104</v>
      </c>
    </row>
    <row r="112" spans="1:17" x14ac:dyDescent="0.3">
      <c r="A112" s="9"/>
      <c r="B112" s="31" t="s">
        <v>386</v>
      </c>
      <c r="C112" s="21" t="s">
        <v>174</v>
      </c>
      <c r="D112" s="63">
        <v>20000</v>
      </c>
      <c r="E112" s="23">
        <v>4</v>
      </c>
      <c r="F112" s="65">
        <v>2</v>
      </c>
      <c r="G112" s="70">
        <v>30000</v>
      </c>
      <c r="H112" s="23">
        <v>380</v>
      </c>
      <c r="I112" s="23" t="s">
        <v>101</v>
      </c>
      <c r="J112" s="23">
        <v>1000</v>
      </c>
      <c r="K112" s="65">
        <v>1100</v>
      </c>
      <c r="L112" s="23">
        <v>200</v>
      </c>
      <c r="M112" s="23">
        <v>4</v>
      </c>
      <c r="N112" s="23">
        <v>60</v>
      </c>
      <c r="O112" s="23">
        <v>20</v>
      </c>
      <c r="P112" s="23">
        <v>30.5</v>
      </c>
      <c r="Q112" s="24" t="s">
        <v>105</v>
      </c>
    </row>
    <row r="113" spans="1:17" s="9" customFormat="1" x14ac:dyDescent="0.3">
      <c r="A113" s="14"/>
      <c r="B113" s="32" t="s">
        <v>387</v>
      </c>
      <c r="C113" s="5" t="s">
        <v>174</v>
      </c>
      <c r="D113" s="63">
        <v>20000</v>
      </c>
      <c r="E113" s="6">
        <v>8</v>
      </c>
      <c r="F113" s="65">
        <v>4</v>
      </c>
      <c r="G113" s="70">
        <v>36000</v>
      </c>
      <c r="H113" s="6">
        <v>220</v>
      </c>
      <c r="I113" s="6" t="s">
        <v>101</v>
      </c>
      <c r="J113" s="6">
        <v>750</v>
      </c>
      <c r="K113" s="65">
        <v>800</v>
      </c>
      <c r="L113" s="6">
        <v>200</v>
      </c>
      <c r="M113" s="6">
        <v>8</v>
      </c>
      <c r="N113" s="6">
        <v>196.9</v>
      </c>
      <c r="O113" s="6">
        <v>20</v>
      </c>
      <c r="P113" s="6">
        <v>84</v>
      </c>
      <c r="Q113" s="2" t="s">
        <v>168</v>
      </c>
    </row>
    <row r="114" spans="1:17" x14ac:dyDescent="0.3">
      <c r="A114" s="9"/>
      <c r="B114" s="33" t="s">
        <v>388</v>
      </c>
      <c r="C114" s="21" t="s">
        <v>174</v>
      </c>
      <c r="D114" s="63">
        <v>25000</v>
      </c>
      <c r="E114" s="23">
        <v>4</v>
      </c>
      <c r="F114" s="65">
        <v>2</v>
      </c>
      <c r="G114" s="70">
        <v>37500</v>
      </c>
      <c r="H114" s="23">
        <v>220</v>
      </c>
      <c r="I114" s="23" t="s">
        <v>101</v>
      </c>
      <c r="J114" s="23">
        <v>1000</v>
      </c>
      <c r="K114" s="65">
        <v>1100</v>
      </c>
      <c r="L114" s="23">
        <v>200</v>
      </c>
      <c r="M114" s="23">
        <v>4</v>
      </c>
      <c r="N114" s="23">
        <v>173.2</v>
      </c>
      <c r="O114" s="23">
        <v>20</v>
      </c>
      <c r="P114" s="23">
        <v>84</v>
      </c>
      <c r="Q114" s="24" t="s">
        <v>168</v>
      </c>
    </row>
    <row r="115" spans="1:17" s="9" customFormat="1" x14ac:dyDescent="0.3">
      <c r="A115" s="15"/>
      <c r="B115" s="32" t="s">
        <v>389</v>
      </c>
      <c r="C115" s="5" t="s">
        <v>174</v>
      </c>
      <c r="D115" s="63">
        <v>30000</v>
      </c>
      <c r="E115" s="6">
        <v>8</v>
      </c>
      <c r="F115" s="65">
        <v>4</v>
      </c>
      <c r="G115" s="70">
        <v>54000</v>
      </c>
      <c r="H115" s="6">
        <v>220</v>
      </c>
      <c r="I115" s="6" t="s">
        <v>101</v>
      </c>
      <c r="J115" s="6">
        <v>1000</v>
      </c>
      <c r="K115" s="65">
        <v>1100</v>
      </c>
      <c r="L115" s="6">
        <v>200</v>
      </c>
      <c r="M115" s="6">
        <v>8</v>
      </c>
      <c r="N115" s="6">
        <v>144.30000000000001</v>
      </c>
      <c r="O115" s="6">
        <v>20</v>
      </c>
      <c r="P115" s="6">
        <v>84</v>
      </c>
      <c r="Q115" s="2" t="s">
        <v>168</v>
      </c>
    </row>
    <row r="116" spans="1:17" x14ac:dyDescent="0.3">
      <c r="A116" s="15"/>
      <c r="B116" s="33" t="s">
        <v>390</v>
      </c>
      <c r="C116" s="21" t="s">
        <v>174</v>
      </c>
      <c r="D116" s="63">
        <v>40000</v>
      </c>
      <c r="E116" s="23">
        <v>8</v>
      </c>
      <c r="F116" s="65">
        <v>4</v>
      </c>
      <c r="G116" s="70">
        <v>72000</v>
      </c>
      <c r="H116" s="23">
        <v>800</v>
      </c>
      <c r="I116" s="23" t="s">
        <v>101</v>
      </c>
      <c r="J116" s="23">
        <v>1000</v>
      </c>
      <c r="K116" s="65">
        <v>1100</v>
      </c>
      <c r="L116" s="23">
        <v>200</v>
      </c>
      <c r="M116" s="23">
        <v>8</v>
      </c>
      <c r="N116" s="23">
        <v>180.4</v>
      </c>
      <c r="O116" s="23">
        <v>20</v>
      </c>
      <c r="P116" s="23">
        <v>99</v>
      </c>
      <c r="Q116" s="24" t="s">
        <v>128</v>
      </c>
    </row>
    <row r="117" spans="1:17" s="9" customFormat="1" x14ac:dyDescent="0.3">
      <c r="A117" s="15"/>
      <c r="B117" s="32" t="s">
        <v>391</v>
      </c>
      <c r="C117" s="5" t="s">
        <v>174</v>
      </c>
      <c r="D117" s="63">
        <v>50000</v>
      </c>
      <c r="E117" s="6">
        <v>21</v>
      </c>
      <c r="F117" s="65">
        <v>7</v>
      </c>
      <c r="G117" s="70">
        <v>90000</v>
      </c>
      <c r="H117" s="6">
        <v>220</v>
      </c>
      <c r="I117" s="6" t="s">
        <v>97</v>
      </c>
      <c r="J117" s="6">
        <v>750</v>
      </c>
      <c r="K117" s="65">
        <v>750</v>
      </c>
      <c r="L117" s="6">
        <v>160</v>
      </c>
      <c r="M117" s="6">
        <v>21</v>
      </c>
      <c r="N117" s="6">
        <v>80</v>
      </c>
      <c r="O117" s="6">
        <v>22</v>
      </c>
      <c r="P117" s="6">
        <v>12</v>
      </c>
      <c r="Q117" s="2" t="s">
        <v>104</v>
      </c>
    </row>
    <row r="118" spans="1:17" x14ac:dyDescent="0.3">
      <c r="A118" s="9"/>
      <c r="B118" s="33" t="s">
        <v>392</v>
      </c>
      <c r="C118" s="21" t="s">
        <v>174</v>
      </c>
      <c r="D118" s="63">
        <v>50000</v>
      </c>
      <c r="E118" s="23">
        <v>8</v>
      </c>
      <c r="F118" s="65">
        <v>4</v>
      </c>
      <c r="G118" s="70">
        <v>90000</v>
      </c>
      <c r="H118" s="23">
        <v>120</v>
      </c>
      <c r="I118" s="23" t="s">
        <v>97</v>
      </c>
      <c r="J118" s="23">
        <v>1000</v>
      </c>
      <c r="K118" s="65">
        <v>1100</v>
      </c>
      <c r="L118" s="23">
        <v>200</v>
      </c>
      <c r="M118" s="23">
        <v>8</v>
      </c>
      <c r="N118" s="23">
        <v>40</v>
      </c>
      <c r="O118" s="23">
        <v>20</v>
      </c>
      <c r="P118" s="23">
        <v>12</v>
      </c>
      <c r="Q118" s="24" t="s">
        <v>104</v>
      </c>
    </row>
    <row r="119" spans="1:17" s="9" customFormat="1" x14ac:dyDescent="0.3">
      <c r="A119" s="15"/>
      <c r="B119" s="32" t="s">
        <v>393</v>
      </c>
      <c r="C119" s="5" t="s">
        <v>174</v>
      </c>
      <c r="D119" s="63">
        <v>75000</v>
      </c>
      <c r="E119" s="6">
        <v>21</v>
      </c>
      <c r="F119" s="65">
        <v>7</v>
      </c>
      <c r="G119" s="70">
        <v>135000</v>
      </c>
      <c r="H119" s="6">
        <v>380</v>
      </c>
      <c r="I119" s="6" t="s">
        <v>101</v>
      </c>
      <c r="J119" s="6">
        <v>750</v>
      </c>
      <c r="K119" s="65">
        <v>750</v>
      </c>
      <c r="L119" s="6">
        <v>160</v>
      </c>
      <c r="M119" s="6">
        <v>21</v>
      </c>
      <c r="N119" s="6">
        <v>208.9</v>
      </c>
      <c r="O119" s="6">
        <v>22</v>
      </c>
      <c r="P119" s="6">
        <v>84</v>
      </c>
      <c r="Q119" s="2" t="s">
        <v>177</v>
      </c>
    </row>
    <row r="120" spans="1:17" x14ac:dyDescent="0.3">
      <c r="A120" s="15"/>
      <c r="B120" s="33" t="s">
        <v>394</v>
      </c>
      <c r="C120" s="21" t="s">
        <v>174</v>
      </c>
      <c r="D120" s="63">
        <v>4000</v>
      </c>
      <c r="E120" s="23">
        <v>2</v>
      </c>
      <c r="F120" s="65">
        <v>2</v>
      </c>
      <c r="G120" s="70">
        <v>6000</v>
      </c>
      <c r="H120" s="23">
        <v>380</v>
      </c>
      <c r="I120" s="23" t="s">
        <v>101</v>
      </c>
      <c r="J120" s="23">
        <v>530</v>
      </c>
      <c r="K120" s="65">
        <v>600</v>
      </c>
      <c r="L120" s="23">
        <v>100</v>
      </c>
      <c r="M120" s="23">
        <v>2</v>
      </c>
      <c r="N120" s="23">
        <v>167.1</v>
      </c>
      <c r="O120" s="23">
        <v>20</v>
      </c>
      <c r="P120" s="23">
        <v>84</v>
      </c>
      <c r="Q120" s="24" t="s">
        <v>177</v>
      </c>
    </row>
    <row r="121" spans="1:17" s="9" customFormat="1" x14ac:dyDescent="0.3">
      <c r="A121" s="15"/>
      <c r="B121" s="32" t="s">
        <v>395</v>
      </c>
      <c r="C121" s="5" t="s">
        <v>415</v>
      </c>
      <c r="D121" s="63">
        <v>25000</v>
      </c>
      <c r="E121" s="6">
        <v>4</v>
      </c>
      <c r="F121" s="65">
        <v>2</v>
      </c>
      <c r="G121" s="70">
        <v>37500</v>
      </c>
      <c r="H121" s="6">
        <v>220</v>
      </c>
      <c r="I121" s="6" t="s">
        <v>97</v>
      </c>
      <c r="J121" s="6">
        <v>1000</v>
      </c>
      <c r="K121" s="65">
        <v>1100</v>
      </c>
      <c r="L121" s="6">
        <v>160</v>
      </c>
      <c r="M121" s="6">
        <v>4</v>
      </c>
      <c r="N121" s="6">
        <v>9.3000000000000007</v>
      </c>
      <c r="O121" s="6">
        <v>26</v>
      </c>
      <c r="P121" s="6">
        <v>5</v>
      </c>
      <c r="Q121" s="2" t="s">
        <v>107</v>
      </c>
    </row>
    <row r="122" spans="1:17" x14ac:dyDescent="0.3">
      <c r="A122" s="15"/>
      <c r="B122" s="33" t="s">
        <v>396</v>
      </c>
      <c r="C122" s="21" t="s">
        <v>415</v>
      </c>
      <c r="D122" s="63">
        <v>7500</v>
      </c>
      <c r="E122" s="23">
        <v>3</v>
      </c>
      <c r="F122" s="65">
        <v>3</v>
      </c>
      <c r="G122" s="70">
        <v>11250</v>
      </c>
      <c r="H122" s="23">
        <v>220</v>
      </c>
      <c r="I122" s="23" t="s">
        <v>97</v>
      </c>
      <c r="J122" s="23">
        <v>550</v>
      </c>
      <c r="K122" s="65">
        <v>600</v>
      </c>
      <c r="L122" s="23">
        <v>90</v>
      </c>
      <c r="M122" s="23">
        <v>3</v>
      </c>
      <c r="N122" s="23">
        <v>50</v>
      </c>
      <c r="O122" s="23">
        <v>20</v>
      </c>
      <c r="P122" s="23">
        <v>48.84</v>
      </c>
      <c r="Q122" s="24" t="s">
        <v>126</v>
      </c>
    </row>
    <row r="123" spans="1:17" s="9" customFormat="1" x14ac:dyDescent="0.3">
      <c r="A123" s="15"/>
      <c r="B123" s="32" t="s">
        <v>397</v>
      </c>
      <c r="C123" s="5" t="s">
        <v>415</v>
      </c>
      <c r="D123" s="63">
        <v>6000</v>
      </c>
      <c r="E123" s="6">
        <v>2</v>
      </c>
      <c r="F123" s="65">
        <v>2</v>
      </c>
      <c r="G123" s="70">
        <v>9000</v>
      </c>
      <c r="H123" s="6">
        <v>380</v>
      </c>
      <c r="I123" s="6" t="s">
        <v>101</v>
      </c>
      <c r="J123" s="6">
        <v>550</v>
      </c>
      <c r="K123" s="65">
        <v>600</v>
      </c>
      <c r="L123" s="6">
        <v>90</v>
      </c>
      <c r="M123" s="6">
        <v>2</v>
      </c>
      <c r="N123" s="6">
        <v>42</v>
      </c>
      <c r="O123" s="6">
        <v>20</v>
      </c>
      <c r="P123" s="6">
        <v>22</v>
      </c>
      <c r="Q123" s="2" t="s">
        <v>102</v>
      </c>
    </row>
    <row r="124" spans="1:17" x14ac:dyDescent="0.3">
      <c r="A124" s="15"/>
      <c r="B124" s="33" t="s">
        <v>398</v>
      </c>
      <c r="C124" s="21" t="s">
        <v>415</v>
      </c>
      <c r="D124" s="63">
        <v>15000</v>
      </c>
      <c r="E124" s="23">
        <v>3</v>
      </c>
      <c r="F124" s="65">
        <v>2</v>
      </c>
      <c r="G124" s="70">
        <v>22500</v>
      </c>
      <c r="H124" s="23">
        <v>380</v>
      </c>
      <c r="I124" s="23" t="s">
        <v>101</v>
      </c>
      <c r="J124" s="23">
        <v>1000</v>
      </c>
      <c r="K124" s="65">
        <v>1100</v>
      </c>
      <c r="L124" s="23">
        <v>160</v>
      </c>
      <c r="M124" s="23">
        <v>3</v>
      </c>
      <c r="N124" s="23">
        <v>33.6</v>
      </c>
      <c r="O124" s="23">
        <v>26</v>
      </c>
      <c r="P124" s="23">
        <v>22</v>
      </c>
      <c r="Q124" s="24" t="s">
        <v>102</v>
      </c>
    </row>
    <row r="125" spans="1:17" s="9" customFormat="1" x14ac:dyDescent="0.3">
      <c r="A125" s="15"/>
      <c r="B125" s="32" t="s">
        <v>399</v>
      </c>
      <c r="C125" s="5" t="s">
        <v>415</v>
      </c>
      <c r="D125" s="63">
        <v>10000</v>
      </c>
      <c r="E125" s="6">
        <v>3</v>
      </c>
      <c r="F125" s="65">
        <v>3</v>
      </c>
      <c r="G125" s="70">
        <v>15000</v>
      </c>
      <c r="H125" s="6">
        <v>220</v>
      </c>
      <c r="I125" s="6" t="s">
        <v>101</v>
      </c>
      <c r="J125" s="6">
        <v>560</v>
      </c>
      <c r="K125" s="65">
        <v>600</v>
      </c>
      <c r="L125" s="6">
        <v>90</v>
      </c>
      <c r="M125" s="6">
        <v>3</v>
      </c>
      <c r="N125" s="6">
        <v>196.9</v>
      </c>
      <c r="O125" s="6">
        <v>20</v>
      </c>
      <c r="P125" s="6">
        <v>84</v>
      </c>
      <c r="Q125" s="2" t="s">
        <v>168</v>
      </c>
    </row>
    <row r="126" spans="1:17" x14ac:dyDescent="0.3">
      <c r="A126" s="15"/>
      <c r="B126" s="33" t="s">
        <v>400</v>
      </c>
      <c r="C126" s="21" t="s">
        <v>114</v>
      </c>
      <c r="D126" s="63">
        <v>2250</v>
      </c>
      <c r="E126" s="23">
        <v>4</v>
      </c>
      <c r="F126" s="65">
        <v>4</v>
      </c>
      <c r="G126" s="70">
        <v>3000</v>
      </c>
      <c r="H126" s="23">
        <v>220</v>
      </c>
      <c r="I126" s="23" t="s">
        <v>101</v>
      </c>
      <c r="J126" s="23">
        <v>55</v>
      </c>
      <c r="K126" s="65">
        <v>60</v>
      </c>
      <c r="L126" s="23">
        <v>24</v>
      </c>
      <c r="M126" s="23">
        <v>4</v>
      </c>
      <c r="N126" s="23">
        <v>173.2</v>
      </c>
      <c r="O126" s="23">
        <v>19</v>
      </c>
      <c r="P126" s="23">
        <v>84</v>
      </c>
      <c r="Q126" s="24" t="s">
        <v>168</v>
      </c>
    </row>
    <row r="127" spans="1:17" s="9" customFormat="1" x14ac:dyDescent="0.3">
      <c r="A127" s="15"/>
      <c r="B127" s="32" t="s">
        <v>400</v>
      </c>
      <c r="C127" s="5" t="s">
        <v>114</v>
      </c>
      <c r="D127" s="63">
        <v>2250</v>
      </c>
      <c r="E127" s="6">
        <v>4</v>
      </c>
      <c r="F127" s="65">
        <v>4</v>
      </c>
      <c r="G127" s="70">
        <v>3000</v>
      </c>
      <c r="H127" s="6">
        <v>220</v>
      </c>
      <c r="I127" s="6" t="s">
        <v>101</v>
      </c>
      <c r="J127" s="6">
        <v>55</v>
      </c>
      <c r="K127" s="65">
        <v>60</v>
      </c>
      <c r="L127" s="6">
        <v>24</v>
      </c>
      <c r="M127" s="6">
        <v>4</v>
      </c>
      <c r="N127" s="6">
        <v>144.30000000000001</v>
      </c>
      <c r="O127" s="6">
        <v>19</v>
      </c>
      <c r="P127" s="6">
        <v>84</v>
      </c>
      <c r="Q127" s="2" t="s">
        <v>168</v>
      </c>
    </row>
    <row r="128" spans="1:17" x14ac:dyDescent="0.3">
      <c r="A128" s="14"/>
      <c r="B128" s="33" t="s">
        <v>400</v>
      </c>
      <c r="C128" s="21" t="s">
        <v>114</v>
      </c>
      <c r="D128" s="63">
        <v>2250</v>
      </c>
      <c r="E128" s="23">
        <v>4</v>
      </c>
      <c r="F128" s="65">
        <v>4</v>
      </c>
      <c r="G128" s="70">
        <v>3000</v>
      </c>
      <c r="H128" s="23">
        <v>220</v>
      </c>
      <c r="I128" s="23" t="s">
        <v>101</v>
      </c>
      <c r="J128" s="23">
        <v>55</v>
      </c>
      <c r="K128" s="65">
        <v>60</v>
      </c>
      <c r="L128" s="23">
        <v>24</v>
      </c>
      <c r="M128" s="23">
        <v>4</v>
      </c>
      <c r="N128" s="23">
        <v>72.900000000000006</v>
      </c>
      <c r="O128" s="23">
        <v>19</v>
      </c>
      <c r="P128" s="23">
        <v>37</v>
      </c>
      <c r="Q128" s="24" t="s">
        <v>105</v>
      </c>
    </row>
    <row r="129" spans="1:17" s="9" customFormat="1" x14ac:dyDescent="0.3">
      <c r="A129" s="15"/>
      <c r="B129" s="32" t="s">
        <v>401</v>
      </c>
      <c r="C129" s="5" t="s">
        <v>226</v>
      </c>
      <c r="D129" s="63">
        <v>75000</v>
      </c>
      <c r="E129" s="6">
        <v>18</v>
      </c>
      <c r="F129" s="65">
        <v>9</v>
      </c>
      <c r="G129" s="70">
        <v>126000</v>
      </c>
      <c r="H129" s="6">
        <v>220</v>
      </c>
      <c r="I129" s="6" t="s">
        <v>101</v>
      </c>
      <c r="J129" s="6">
        <v>1000</v>
      </c>
      <c r="K129" s="65">
        <v>1100</v>
      </c>
      <c r="L129" s="6">
        <v>195</v>
      </c>
      <c r="M129" s="6">
        <v>18</v>
      </c>
      <c r="N129" s="6">
        <v>58.3</v>
      </c>
      <c r="O129" s="6">
        <v>20</v>
      </c>
      <c r="P129" s="6">
        <v>37</v>
      </c>
      <c r="Q129" s="2" t="s">
        <v>105</v>
      </c>
    </row>
    <row r="130" spans="1:17" x14ac:dyDescent="0.3">
      <c r="A130" s="14"/>
      <c r="B130" s="33" t="s">
        <v>225</v>
      </c>
      <c r="C130" s="21" t="s">
        <v>226</v>
      </c>
      <c r="D130" s="63">
        <v>20000</v>
      </c>
      <c r="E130" s="23">
        <v>4</v>
      </c>
      <c r="F130" s="65">
        <v>2</v>
      </c>
      <c r="G130" s="70">
        <v>34000</v>
      </c>
      <c r="H130" s="23">
        <v>220</v>
      </c>
      <c r="I130" s="23" t="s">
        <v>101</v>
      </c>
      <c r="J130" s="23">
        <v>1000</v>
      </c>
      <c r="K130" s="65">
        <v>1100</v>
      </c>
      <c r="L130" s="23">
        <v>180</v>
      </c>
      <c r="M130" s="23">
        <v>4</v>
      </c>
      <c r="N130" s="23">
        <v>43.7</v>
      </c>
      <c r="O130" s="23">
        <v>20</v>
      </c>
      <c r="P130" s="23">
        <v>37</v>
      </c>
      <c r="Q130" s="24" t="s">
        <v>105</v>
      </c>
    </row>
    <row r="131" spans="1:17" s="9" customFormat="1" x14ac:dyDescent="0.3">
      <c r="A131" s="15"/>
      <c r="B131" s="32" t="s">
        <v>245</v>
      </c>
      <c r="C131" s="5" t="s">
        <v>226</v>
      </c>
      <c r="D131" s="63">
        <v>60000</v>
      </c>
      <c r="E131" s="6">
        <v>12</v>
      </c>
      <c r="F131" s="65">
        <v>6</v>
      </c>
      <c r="G131" s="70">
        <v>102000</v>
      </c>
      <c r="H131" s="6">
        <v>220</v>
      </c>
      <c r="I131" s="6" t="s">
        <v>97</v>
      </c>
      <c r="J131" s="6">
        <v>1000</v>
      </c>
      <c r="K131" s="65">
        <v>1100</v>
      </c>
      <c r="L131" s="6">
        <v>195</v>
      </c>
      <c r="M131" s="6">
        <v>12</v>
      </c>
      <c r="N131" s="6">
        <v>45.5</v>
      </c>
      <c r="O131" s="6">
        <v>20</v>
      </c>
      <c r="P131" s="6">
        <v>20</v>
      </c>
      <c r="Q131" s="2" t="s">
        <v>99</v>
      </c>
    </row>
    <row r="132" spans="1:17" x14ac:dyDescent="0.3">
      <c r="A132" s="15"/>
      <c r="B132" s="33" t="s">
        <v>227</v>
      </c>
      <c r="C132" s="21" t="s">
        <v>226</v>
      </c>
      <c r="D132" s="63">
        <v>30000</v>
      </c>
      <c r="E132" s="23">
        <v>6</v>
      </c>
      <c r="F132" s="65">
        <v>3</v>
      </c>
      <c r="G132" s="70">
        <v>51000</v>
      </c>
      <c r="H132" s="23">
        <v>220</v>
      </c>
      <c r="I132" s="23" t="s">
        <v>97</v>
      </c>
      <c r="J132" s="23">
        <v>1000</v>
      </c>
      <c r="K132" s="65">
        <v>1100</v>
      </c>
      <c r="L132" s="23">
        <v>200</v>
      </c>
      <c r="M132" s="23">
        <v>6</v>
      </c>
      <c r="N132" s="23">
        <v>38.299999999999997</v>
      </c>
      <c r="O132" s="23">
        <v>20</v>
      </c>
      <c r="P132" s="23">
        <v>20</v>
      </c>
      <c r="Q132" s="24" t="s">
        <v>99</v>
      </c>
    </row>
    <row r="133" spans="1:17" s="9" customFormat="1" x14ac:dyDescent="0.3">
      <c r="A133" s="15"/>
      <c r="B133" s="32" t="s">
        <v>246</v>
      </c>
      <c r="C133" s="5" t="s">
        <v>226</v>
      </c>
      <c r="D133" s="63">
        <v>37500</v>
      </c>
      <c r="E133" s="6">
        <v>8</v>
      </c>
      <c r="F133" s="65">
        <v>4</v>
      </c>
      <c r="G133" s="70">
        <v>63800</v>
      </c>
      <c r="H133" s="6">
        <v>220</v>
      </c>
      <c r="I133" s="6" t="s">
        <v>97</v>
      </c>
      <c r="J133" s="6">
        <v>1000</v>
      </c>
      <c r="K133" s="65">
        <v>1100</v>
      </c>
      <c r="L133" s="6">
        <v>200</v>
      </c>
      <c r="M133" s="6">
        <v>8</v>
      </c>
      <c r="N133" s="6">
        <v>27.2</v>
      </c>
      <c r="O133" s="6">
        <v>20</v>
      </c>
      <c r="P133" s="6">
        <v>10.8</v>
      </c>
      <c r="Q133" s="2" t="s">
        <v>98</v>
      </c>
    </row>
    <row r="134" spans="1:17" x14ac:dyDescent="0.3">
      <c r="A134" s="15"/>
      <c r="B134" s="33" t="s">
        <v>228</v>
      </c>
      <c r="C134" s="21" t="s">
        <v>226</v>
      </c>
      <c r="D134" s="63">
        <v>25000</v>
      </c>
      <c r="E134" s="23">
        <v>6</v>
      </c>
      <c r="F134" s="65">
        <v>3</v>
      </c>
      <c r="G134" s="70">
        <v>42500</v>
      </c>
      <c r="H134" s="23">
        <v>220</v>
      </c>
      <c r="I134" s="23" t="s">
        <v>97</v>
      </c>
      <c r="J134" s="23">
        <v>1000</v>
      </c>
      <c r="K134" s="65">
        <v>1100</v>
      </c>
      <c r="L134" s="23">
        <v>200</v>
      </c>
      <c r="M134" s="23">
        <v>6</v>
      </c>
      <c r="N134" s="23">
        <v>22.7</v>
      </c>
      <c r="O134" s="23">
        <v>20</v>
      </c>
      <c r="P134" s="23">
        <v>10.8</v>
      </c>
      <c r="Q134" s="24" t="s">
        <v>98</v>
      </c>
    </row>
    <row r="135" spans="1:17" s="9" customFormat="1" x14ac:dyDescent="0.3">
      <c r="A135" s="15"/>
      <c r="B135" s="32" t="s">
        <v>247</v>
      </c>
      <c r="C135" s="5" t="s">
        <v>226</v>
      </c>
      <c r="D135" s="63">
        <v>37500</v>
      </c>
      <c r="E135" s="6">
        <v>8</v>
      </c>
      <c r="F135" s="65">
        <v>4</v>
      </c>
      <c r="G135" s="70">
        <v>63800</v>
      </c>
      <c r="H135" s="6">
        <v>220</v>
      </c>
      <c r="I135" s="6" t="s">
        <v>97</v>
      </c>
      <c r="J135" s="6">
        <v>1000</v>
      </c>
      <c r="K135" s="65">
        <v>1100</v>
      </c>
      <c r="L135" s="6">
        <v>195</v>
      </c>
      <c r="M135" s="6">
        <v>8</v>
      </c>
      <c r="N135" s="6">
        <v>14.3</v>
      </c>
      <c r="O135" s="6">
        <v>20</v>
      </c>
      <c r="P135" s="6">
        <v>6.2</v>
      </c>
      <c r="Q135" s="2" t="s">
        <v>104</v>
      </c>
    </row>
    <row r="136" spans="1:17" x14ac:dyDescent="0.3">
      <c r="A136" s="15"/>
      <c r="B136" s="31" t="s">
        <v>229</v>
      </c>
      <c r="C136" s="21" t="s">
        <v>226</v>
      </c>
      <c r="D136" s="63">
        <v>3000</v>
      </c>
      <c r="E136" s="23">
        <v>1</v>
      </c>
      <c r="F136" s="65">
        <v>1</v>
      </c>
      <c r="G136" s="70">
        <v>5100</v>
      </c>
      <c r="H136" s="23">
        <v>380</v>
      </c>
      <c r="I136" s="23" t="s">
        <v>101</v>
      </c>
      <c r="J136" s="23">
        <v>500</v>
      </c>
      <c r="K136" s="65">
        <v>550</v>
      </c>
      <c r="L136" s="23">
        <v>90</v>
      </c>
      <c r="M136" s="23">
        <v>1</v>
      </c>
      <c r="N136" s="23">
        <v>60.6</v>
      </c>
      <c r="O136" s="23">
        <v>22</v>
      </c>
      <c r="P136" s="23">
        <v>34</v>
      </c>
      <c r="Q136" s="24" t="s">
        <v>126</v>
      </c>
    </row>
    <row r="137" spans="1:17" s="9" customFormat="1" x14ac:dyDescent="0.3">
      <c r="B137" s="32" t="s">
        <v>248</v>
      </c>
      <c r="C137" s="5" t="s">
        <v>226</v>
      </c>
      <c r="D137" s="63">
        <v>4000</v>
      </c>
      <c r="E137" s="6">
        <v>2</v>
      </c>
      <c r="F137" s="65">
        <v>2</v>
      </c>
      <c r="G137" s="70">
        <v>7200</v>
      </c>
      <c r="H137" s="6">
        <v>380</v>
      </c>
      <c r="I137" s="6" t="s">
        <v>101</v>
      </c>
      <c r="J137" s="6">
        <v>550</v>
      </c>
      <c r="K137" s="65">
        <v>550</v>
      </c>
      <c r="L137" s="6">
        <v>100</v>
      </c>
      <c r="M137" s="6">
        <v>2</v>
      </c>
      <c r="N137" s="6">
        <v>25</v>
      </c>
      <c r="O137" s="6">
        <v>22</v>
      </c>
      <c r="P137" s="6">
        <v>15.6</v>
      </c>
      <c r="Q137" s="2" t="s">
        <v>98</v>
      </c>
    </row>
    <row r="138" spans="1:17" x14ac:dyDescent="0.3">
      <c r="A138" s="15"/>
      <c r="B138" s="33" t="s">
        <v>230</v>
      </c>
      <c r="C138" s="21" t="s">
        <v>226</v>
      </c>
      <c r="D138" s="63">
        <v>5000</v>
      </c>
      <c r="E138" s="23">
        <v>2</v>
      </c>
      <c r="F138" s="65">
        <v>2</v>
      </c>
      <c r="G138" s="70">
        <v>9000</v>
      </c>
      <c r="H138" s="23">
        <v>220</v>
      </c>
      <c r="I138" s="23" t="s">
        <v>97</v>
      </c>
      <c r="J138" s="23">
        <v>550</v>
      </c>
      <c r="K138" s="65">
        <v>550</v>
      </c>
      <c r="L138" s="23">
        <v>100</v>
      </c>
      <c r="M138" s="23">
        <v>2</v>
      </c>
      <c r="N138" s="23">
        <v>11.36</v>
      </c>
      <c r="O138" s="23">
        <v>22</v>
      </c>
      <c r="P138" s="23">
        <v>5.0999999999999996</v>
      </c>
      <c r="Q138" s="24" t="s">
        <v>107</v>
      </c>
    </row>
    <row r="139" spans="1:17" s="9" customFormat="1" x14ac:dyDescent="0.3">
      <c r="A139" s="15"/>
      <c r="B139" s="32" t="s">
        <v>249</v>
      </c>
      <c r="C139" s="5" t="s">
        <v>226</v>
      </c>
      <c r="D139" s="63">
        <v>6000</v>
      </c>
      <c r="E139" s="6">
        <v>2</v>
      </c>
      <c r="F139" s="65">
        <v>2</v>
      </c>
      <c r="G139" s="70">
        <v>10800</v>
      </c>
      <c r="H139" s="6">
        <v>220</v>
      </c>
      <c r="I139" s="6" t="s">
        <v>97</v>
      </c>
      <c r="J139" s="6">
        <v>550</v>
      </c>
      <c r="K139" s="65">
        <v>550</v>
      </c>
      <c r="L139" s="6">
        <v>100</v>
      </c>
      <c r="M139" s="6">
        <v>2</v>
      </c>
      <c r="N139" s="6">
        <v>10.23</v>
      </c>
      <c r="O139" s="6">
        <v>22</v>
      </c>
      <c r="P139" s="6">
        <v>5.0999999999999996</v>
      </c>
      <c r="Q139" s="2" t="s">
        <v>107</v>
      </c>
    </row>
    <row r="140" spans="1:17" x14ac:dyDescent="0.3">
      <c r="A140" s="15"/>
      <c r="B140" s="33" t="s">
        <v>231</v>
      </c>
      <c r="C140" s="21" t="s">
        <v>226</v>
      </c>
      <c r="D140" s="63">
        <v>7500</v>
      </c>
      <c r="E140" s="23">
        <v>3</v>
      </c>
      <c r="F140" s="65">
        <v>2</v>
      </c>
      <c r="G140" s="70">
        <v>13500</v>
      </c>
      <c r="H140" s="23">
        <v>380</v>
      </c>
      <c r="I140" s="23" t="s">
        <v>101</v>
      </c>
      <c r="J140" s="23">
        <v>500</v>
      </c>
      <c r="K140" s="65">
        <v>550</v>
      </c>
      <c r="L140" s="23">
        <v>90</v>
      </c>
      <c r="M140" s="23">
        <v>3</v>
      </c>
      <c r="N140" s="23">
        <v>208.9</v>
      </c>
      <c r="O140" s="23">
        <v>20</v>
      </c>
      <c r="P140" s="23">
        <v>84</v>
      </c>
      <c r="Q140" s="24" t="s">
        <v>168</v>
      </c>
    </row>
    <row r="141" spans="1:17" s="9" customFormat="1" x14ac:dyDescent="0.3">
      <c r="A141" s="14"/>
      <c r="B141" s="32" t="s">
        <v>250</v>
      </c>
      <c r="C141" s="5" t="s">
        <v>226</v>
      </c>
      <c r="D141" s="63">
        <v>8000</v>
      </c>
      <c r="E141" s="6">
        <v>3</v>
      </c>
      <c r="F141" s="65">
        <v>2</v>
      </c>
      <c r="G141" s="70">
        <v>13600</v>
      </c>
      <c r="H141" s="6">
        <v>220</v>
      </c>
      <c r="I141" s="6" t="s">
        <v>97</v>
      </c>
      <c r="J141" s="6">
        <v>500</v>
      </c>
      <c r="K141" s="65">
        <v>550</v>
      </c>
      <c r="L141" s="6">
        <v>90</v>
      </c>
      <c r="M141" s="6">
        <v>3</v>
      </c>
      <c r="N141" s="6">
        <v>35.9</v>
      </c>
      <c r="O141" s="6">
        <v>20</v>
      </c>
      <c r="P141" s="6">
        <v>18.2</v>
      </c>
      <c r="Q141" s="2" t="s">
        <v>104</v>
      </c>
    </row>
    <row r="142" spans="1:17" x14ac:dyDescent="0.3">
      <c r="A142" s="15"/>
      <c r="B142" s="31" t="s">
        <v>232</v>
      </c>
      <c r="C142" s="21" t="s">
        <v>226</v>
      </c>
      <c r="D142" s="63">
        <v>40000</v>
      </c>
      <c r="E142" s="23">
        <v>8</v>
      </c>
      <c r="F142" s="65">
        <v>4</v>
      </c>
      <c r="G142" s="70">
        <v>68000</v>
      </c>
      <c r="H142" s="33">
        <v>380</v>
      </c>
      <c r="I142" s="23" t="s">
        <v>101</v>
      </c>
      <c r="J142" s="23">
        <v>1000</v>
      </c>
      <c r="K142" s="65">
        <v>1100</v>
      </c>
      <c r="L142" s="23">
        <v>200</v>
      </c>
      <c r="M142" s="33">
        <v>8</v>
      </c>
      <c r="N142" s="23">
        <v>31.8</v>
      </c>
      <c r="O142" s="33">
        <v>20</v>
      </c>
      <c r="P142" s="23">
        <v>21.1</v>
      </c>
      <c r="Q142" s="38" t="s">
        <v>102</v>
      </c>
    </row>
    <row r="143" spans="1:17" s="9" customFormat="1" x14ac:dyDescent="0.3">
      <c r="A143" s="15"/>
      <c r="B143" s="32" t="s">
        <v>251</v>
      </c>
      <c r="C143" s="5" t="s">
        <v>226</v>
      </c>
      <c r="D143" s="63">
        <v>50000</v>
      </c>
      <c r="E143" s="6">
        <v>10</v>
      </c>
      <c r="F143" s="65">
        <v>5</v>
      </c>
      <c r="G143" s="70">
        <v>85000</v>
      </c>
      <c r="H143" s="20">
        <v>380</v>
      </c>
      <c r="I143" s="6" t="s">
        <v>101</v>
      </c>
      <c r="J143" s="6">
        <v>1000</v>
      </c>
      <c r="K143" s="65">
        <v>1100</v>
      </c>
      <c r="L143" s="6">
        <v>195</v>
      </c>
      <c r="M143" s="20">
        <v>10</v>
      </c>
      <c r="N143" s="6">
        <v>50.2</v>
      </c>
      <c r="O143" s="20">
        <v>20</v>
      </c>
      <c r="P143" s="6">
        <v>38.200000000000003</v>
      </c>
      <c r="Q143" s="37" t="s">
        <v>126</v>
      </c>
    </row>
    <row r="144" spans="1:17" x14ac:dyDescent="0.3">
      <c r="A144" s="15"/>
      <c r="B144" s="31" t="s">
        <v>244</v>
      </c>
      <c r="C144" s="21" t="s">
        <v>226</v>
      </c>
      <c r="D144" s="63">
        <v>100000</v>
      </c>
      <c r="E144" s="23">
        <v>16</v>
      </c>
      <c r="F144" s="65">
        <v>8</v>
      </c>
      <c r="G144" s="70">
        <v>150000</v>
      </c>
      <c r="H144" s="33">
        <v>380</v>
      </c>
      <c r="I144" s="23" t="s">
        <v>101</v>
      </c>
      <c r="J144" s="23">
        <v>1000</v>
      </c>
      <c r="K144" s="65">
        <v>1100</v>
      </c>
      <c r="L144" s="23">
        <v>180</v>
      </c>
      <c r="M144" s="33">
        <v>16</v>
      </c>
      <c r="N144" s="23">
        <v>41.8</v>
      </c>
      <c r="O144" s="33">
        <v>25</v>
      </c>
      <c r="P144" s="23">
        <v>28.2</v>
      </c>
      <c r="Q144" s="38" t="s">
        <v>126</v>
      </c>
    </row>
    <row r="145" spans="1:17" s="9" customFormat="1" x14ac:dyDescent="0.3">
      <c r="A145" s="15"/>
      <c r="B145" s="32" t="s">
        <v>243</v>
      </c>
      <c r="C145" s="5" t="s">
        <v>226</v>
      </c>
      <c r="D145" s="63">
        <v>110000</v>
      </c>
      <c r="E145" s="6">
        <v>16</v>
      </c>
      <c r="F145" s="65">
        <v>8</v>
      </c>
      <c r="G145" s="70">
        <v>165000</v>
      </c>
      <c r="H145" s="20">
        <v>220</v>
      </c>
      <c r="I145" s="6" t="s">
        <v>97</v>
      </c>
      <c r="J145" s="6">
        <v>1000</v>
      </c>
      <c r="K145" s="65">
        <v>1100</v>
      </c>
      <c r="L145" s="6">
        <v>180</v>
      </c>
      <c r="M145" s="20">
        <v>16</v>
      </c>
      <c r="N145" s="6">
        <v>15.7</v>
      </c>
      <c r="O145" s="20">
        <v>25</v>
      </c>
      <c r="P145" s="6">
        <v>7.7</v>
      </c>
      <c r="Q145" s="37" t="s">
        <v>104</v>
      </c>
    </row>
    <row r="146" spans="1:17" x14ac:dyDescent="0.3">
      <c r="A146" s="15"/>
      <c r="B146" s="31" t="s">
        <v>233</v>
      </c>
      <c r="C146" s="21" t="s">
        <v>226</v>
      </c>
      <c r="D146" s="63">
        <v>25000</v>
      </c>
      <c r="E146" s="23">
        <v>8</v>
      </c>
      <c r="F146" s="65">
        <v>4</v>
      </c>
      <c r="G146" s="70">
        <v>42500</v>
      </c>
      <c r="H146" s="33">
        <v>220</v>
      </c>
      <c r="I146" s="23" t="s">
        <v>97</v>
      </c>
      <c r="J146" s="23">
        <v>1000</v>
      </c>
      <c r="K146" s="65">
        <v>1100</v>
      </c>
      <c r="L146" s="23">
        <v>195</v>
      </c>
      <c r="M146" s="33">
        <v>8</v>
      </c>
      <c r="N146" s="23">
        <v>22.7</v>
      </c>
      <c r="O146" s="33">
        <v>20</v>
      </c>
      <c r="P146" s="23">
        <v>8.9</v>
      </c>
      <c r="Q146" s="38" t="s">
        <v>98</v>
      </c>
    </row>
    <row r="147" spans="1:17" s="9" customFormat="1" x14ac:dyDescent="0.3">
      <c r="A147" s="15"/>
      <c r="B147" s="32" t="s">
        <v>252</v>
      </c>
      <c r="C147" s="5" t="s">
        <v>226</v>
      </c>
      <c r="D147" s="63">
        <v>30000</v>
      </c>
      <c r="E147" s="6">
        <v>8</v>
      </c>
      <c r="F147" s="65">
        <v>4</v>
      </c>
      <c r="G147" s="70">
        <v>51000</v>
      </c>
      <c r="H147" s="20">
        <v>220</v>
      </c>
      <c r="I147" s="6" t="s">
        <v>97</v>
      </c>
      <c r="J147" s="6">
        <v>1000</v>
      </c>
      <c r="K147" s="65">
        <v>1100</v>
      </c>
      <c r="L147" s="6">
        <v>195</v>
      </c>
      <c r="M147" s="20">
        <v>8</v>
      </c>
      <c r="N147" s="6">
        <v>34.1</v>
      </c>
      <c r="O147" s="20">
        <v>20</v>
      </c>
      <c r="P147" s="6">
        <v>13.5</v>
      </c>
      <c r="Q147" s="37" t="s">
        <v>123</v>
      </c>
    </row>
    <row r="148" spans="1:17" x14ac:dyDescent="0.3">
      <c r="A148" s="15"/>
      <c r="B148" s="31" t="s">
        <v>402</v>
      </c>
      <c r="C148" s="21" t="s">
        <v>226</v>
      </c>
      <c r="D148" s="63">
        <v>125000</v>
      </c>
      <c r="E148" s="23">
        <v>1</v>
      </c>
      <c r="F148" s="65">
        <v>1</v>
      </c>
      <c r="G148" s="70">
        <v>187500</v>
      </c>
      <c r="H148" s="33">
        <v>380</v>
      </c>
      <c r="I148" s="23" t="s">
        <v>101</v>
      </c>
      <c r="J148" s="23">
        <v>1450</v>
      </c>
      <c r="K148" s="65">
        <v>1500</v>
      </c>
      <c r="L148" s="23">
        <v>900</v>
      </c>
      <c r="M148" s="33">
        <v>1</v>
      </c>
      <c r="N148" s="23">
        <v>66.900000000000006</v>
      </c>
      <c r="O148" s="33">
        <v>300</v>
      </c>
      <c r="P148" s="23">
        <v>42.1</v>
      </c>
      <c r="Q148" s="38" t="s">
        <v>105</v>
      </c>
    </row>
    <row r="149" spans="1:17" s="9" customFormat="1" x14ac:dyDescent="0.3">
      <c r="B149" s="32" t="s">
        <v>253</v>
      </c>
      <c r="C149" s="5" t="s">
        <v>226</v>
      </c>
      <c r="D149" s="63">
        <v>7000</v>
      </c>
      <c r="E149" s="6">
        <v>3</v>
      </c>
      <c r="F149" s="65">
        <v>2</v>
      </c>
      <c r="G149" s="70">
        <v>11900</v>
      </c>
      <c r="H149" s="20">
        <v>220</v>
      </c>
      <c r="I149" s="6" t="s">
        <v>101</v>
      </c>
      <c r="J149" s="6">
        <v>500</v>
      </c>
      <c r="K149" s="65">
        <v>550</v>
      </c>
      <c r="L149" s="6">
        <v>90</v>
      </c>
      <c r="M149" s="20">
        <v>3</v>
      </c>
      <c r="N149" s="6">
        <v>72.2</v>
      </c>
      <c r="O149" s="20">
        <v>20</v>
      </c>
      <c r="P149" s="6">
        <v>53.7</v>
      </c>
      <c r="Q149" s="37" t="s">
        <v>105</v>
      </c>
    </row>
    <row r="150" spans="1:17" x14ac:dyDescent="0.3">
      <c r="A150" s="9"/>
      <c r="B150" s="31" t="s">
        <v>234</v>
      </c>
      <c r="C150" s="21" t="s">
        <v>226</v>
      </c>
      <c r="D150" s="63">
        <v>15000</v>
      </c>
      <c r="E150" s="23">
        <v>4</v>
      </c>
      <c r="F150" s="65">
        <v>2</v>
      </c>
      <c r="G150" s="70">
        <v>25500</v>
      </c>
      <c r="H150" s="33">
        <v>600</v>
      </c>
      <c r="I150" s="23" t="s">
        <v>101</v>
      </c>
      <c r="J150" s="23">
        <v>1000</v>
      </c>
      <c r="K150" s="65">
        <v>1100</v>
      </c>
      <c r="L150" s="23">
        <v>180</v>
      </c>
      <c r="M150" s="33">
        <v>4</v>
      </c>
      <c r="N150" s="23">
        <v>120</v>
      </c>
      <c r="O150" s="33">
        <v>20</v>
      </c>
      <c r="P150" s="23">
        <v>77</v>
      </c>
      <c r="Q150" s="38" t="s">
        <v>104</v>
      </c>
    </row>
    <row r="151" spans="1:17" s="9" customFormat="1" x14ac:dyDescent="0.3">
      <c r="B151" s="32" t="s">
        <v>235</v>
      </c>
      <c r="C151" s="5" t="s">
        <v>226</v>
      </c>
      <c r="D151" s="63">
        <v>75000</v>
      </c>
      <c r="E151" s="6">
        <v>16</v>
      </c>
      <c r="F151" s="65">
        <v>8</v>
      </c>
      <c r="G151" s="70">
        <v>128000</v>
      </c>
      <c r="H151" s="20">
        <v>380</v>
      </c>
      <c r="I151" s="6" t="s">
        <v>101</v>
      </c>
      <c r="J151" s="6">
        <v>800</v>
      </c>
      <c r="K151" s="65">
        <v>1100</v>
      </c>
      <c r="L151" s="6">
        <v>180</v>
      </c>
      <c r="M151" s="20">
        <v>16</v>
      </c>
      <c r="N151" s="6">
        <v>23.8</v>
      </c>
      <c r="O151" s="20">
        <v>25</v>
      </c>
      <c r="P151" s="6">
        <v>19.600000000000001</v>
      </c>
      <c r="Q151" s="37" t="s">
        <v>102</v>
      </c>
    </row>
    <row r="152" spans="1:17" x14ac:dyDescent="0.3">
      <c r="A152" s="9"/>
      <c r="B152" s="31" t="s">
        <v>254</v>
      </c>
      <c r="C152" s="21" t="s">
        <v>226</v>
      </c>
      <c r="D152" s="63">
        <v>60000</v>
      </c>
      <c r="E152" s="23">
        <v>16</v>
      </c>
      <c r="F152" s="65">
        <v>8</v>
      </c>
      <c r="G152" s="70">
        <v>105000</v>
      </c>
      <c r="H152" s="33">
        <v>220</v>
      </c>
      <c r="I152" s="23" t="s">
        <v>101</v>
      </c>
      <c r="J152" s="23">
        <v>800</v>
      </c>
      <c r="K152" s="65">
        <v>1100</v>
      </c>
      <c r="L152" s="23">
        <v>180</v>
      </c>
      <c r="M152" s="33">
        <v>16</v>
      </c>
      <c r="N152" s="23">
        <v>196.8</v>
      </c>
      <c r="O152" s="33">
        <v>25</v>
      </c>
      <c r="P152" s="23">
        <v>93</v>
      </c>
      <c r="Q152" s="38" t="s">
        <v>168</v>
      </c>
    </row>
    <row r="153" spans="1:17" s="9" customFormat="1" x14ac:dyDescent="0.3">
      <c r="B153" s="32" t="s">
        <v>236</v>
      </c>
      <c r="C153" s="5" t="s">
        <v>226</v>
      </c>
      <c r="D153" s="63">
        <v>50000</v>
      </c>
      <c r="E153" s="6">
        <v>12</v>
      </c>
      <c r="F153" s="65">
        <v>6</v>
      </c>
      <c r="G153" s="70">
        <v>85000</v>
      </c>
      <c r="H153" s="20">
        <v>220</v>
      </c>
      <c r="I153" s="6" t="s">
        <v>101</v>
      </c>
      <c r="J153" s="6">
        <v>800</v>
      </c>
      <c r="K153" s="65">
        <v>110</v>
      </c>
      <c r="L153" s="6">
        <v>180</v>
      </c>
      <c r="M153" s="20">
        <v>12</v>
      </c>
      <c r="N153" s="6">
        <v>144.30000000000001</v>
      </c>
      <c r="O153" s="20">
        <v>25</v>
      </c>
      <c r="P153" s="6">
        <v>90</v>
      </c>
      <c r="Q153" s="37" t="s">
        <v>106</v>
      </c>
    </row>
    <row r="154" spans="1:17" x14ac:dyDescent="0.3">
      <c r="A154" s="9"/>
      <c r="B154" s="31" t="s">
        <v>255</v>
      </c>
      <c r="C154" s="21" t="s">
        <v>226</v>
      </c>
      <c r="D154" s="63">
        <v>15000</v>
      </c>
      <c r="E154" s="23">
        <v>6</v>
      </c>
      <c r="F154" s="65">
        <v>3</v>
      </c>
      <c r="G154" s="70">
        <v>25500</v>
      </c>
      <c r="H154" s="33">
        <v>220</v>
      </c>
      <c r="I154" s="23" t="s">
        <v>101</v>
      </c>
      <c r="J154" s="23">
        <v>1000</v>
      </c>
      <c r="K154" s="65">
        <v>1100</v>
      </c>
      <c r="L154" s="23">
        <v>200</v>
      </c>
      <c r="M154" s="33">
        <v>6</v>
      </c>
      <c r="N154" s="23">
        <v>57.7</v>
      </c>
      <c r="O154" s="33">
        <v>20</v>
      </c>
      <c r="P154" s="23">
        <v>38.200000000000003</v>
      </c>
      <c r="Q154" s="38" t="s">
        <v>126</v>
      </c>
    </row>
    <row r="155" spans="1:17" s="9" customFormat="1" x14ac:dyDescent="0.3">
      <c r="B155" s="32" t="s">
        <v>237</v>
      </c>
      <c r="C155" s="5" t="s">
        <v>226</v>
      </c>
      <c r="D155" s="63">
        <v>20000</v>
      </c>
      <c r="E155" s="6">
        <v>6</v>
      </c>
      <c r="F155" s="65">
        <v>3</v>
      </c>
      <c r="G155" s="70">
        <v>34000</v>
      </c>
      <c r="H155" s="20">
        <v>220</v>
      </c>
      <c r="I155" s="6" t="s">
        <v>97</v>
      </c>
      <c r="J155" s="6">
        <v>1000</v>
      </c>
      <c r="K155" s="65">
        <v>1100</v>
      </c>
      <c r="L155" s="6">
        <v>200</v>
      </c>
      <c r="M155" s="20">
        <v>6</v>
      </c>
      <c r="N155" s="6">
        <v>45.5</v>
      </c>
      <c r="O155" s="20">
        <v>20</v>
      </c>
      <c r="P155" s="6">
        <v>16.2</v>
      </c>
      <c r="Q155" s="37" t="s">
        <v>99</v>
      </c>
    </row>
    <row r="156" spans="1:17" x14ac:dyDescent="0.3">
      <c r="A156" s="9"/>
      <c r="B156" s="31" t="s">
        <v>256</v>
      </c>
      <c r="C156" s="21" t="s">
        <v>226</v>
      </c>
      <c r="D156" s="63">
        <v>7000</v>
      </c>
      <c r="E156" s="23">
        <v>3</v>
      </c>
      <c r="F156" s="65">
        <v>2</v>
      </c>
      <c r="G156" s="70">
        <v>12600</v>
      </c>
      <c r="H156" s="33">
        <v>800</v>
      </c>
      <c r="I156" s="23" t="s">
        <v>101</v>
      </c>
      <c r="J156" s="23">
        <v>500</v>
      </c>
      <c r="K156" s="65">
        <v>550</v>
      </c>
      <c r="L156" s="23">
        <v>90</v>
      </c>
      <c r="M156" s="33">
        <v>3</v>
      </c>
      <c r="N156" s="23">
        <v>180.4</v>
      </c>
      <c r="O156" s="33">
        <v>20</v>
      </c>
      <c r="P156" s="23">
        <v>113</v>
      </c>
      <c r="Q156" s="38" t="s">
        <v>128</v>
      </c>
    </row>
    <row r="157" spans="1:17" s="9" customFormat="1" x14ac:dyDescent="0.3">
      <c r="B157" s="32" t="s">
        <v>238</v>
      </c>
      <c r="C157" s="5" t="s">
        <v>226</v>
      </c>
      <c r="D157" s="63">
        <v>10000</v>
      </c>
      <c r="E157" s="6">
        <v>3</v>
      </c>
      <c r="F157" s="65">
        <v>3</v>
      </c>
      <c r="G157" s="70">
        <v>18000</v>
      </c>
      <c r="H157" s="20">
        <v>380</v>
      </c>
      <c r="I157" s="6" t="s">
        <v>101</v>
      </c>
      <c r="J157" s="6">
        <v>500</v>
      </c>
      <c r="K157" s="65">
        <v>550</v>
      </c>
      <c r="L157" s="6">
        <v>60</v>
      </c>
      <c r="M157" s="20">
        <v>3</v>
      </c>
      <c r="N157" s="6">
        <v>183.8</v>
      </c>
      <c r="O157" s="20">
        <v>25</v>
      </c>
      <c r="P157" s="6">
        <v>96</v>
      </c>
      <c r="Q157" s="37" t="s">
        <v>177</v>
      </c>
    </row>
    <row r="158" spans="1:17" x14ac:dyDescent="0.3">
      <c r="A158" s="9"/>
      <c r="B158" s="31" t="s">
        <v>403</v>
      </c>
      <c r="C158" s="21" t="s">
        <v>226</v>
      </c>
      <c r="D158" s="63">
        <v>8000</v>
      </c>
      <c r="E158" s="23">
        <v>3</v>
      </c>
      <c r="F158" s="65">
        <v>2</v>
      </c>
      <c r="G158" s="70">
        <v>14400</v>
      </c>
      <c r="H158" s="33">
        <v>380</v>
      </c>
      <c r="I158" s="23" t="s">
        <v>101</v>
      </c>
      <c r="J158" s="23">
        <v>500</v>
      </c>
      <c r="K158" s="65">
        <v>550</v>
      </c>
      <c r="L158" s="23">
        <v>90</v>
      </c>
      <c r="M158" s="33">
        <v>3</v>
      </c>
      <c r="N158" s="23">
        <v>114</v>
      </c>
      <c r="O158" s="33">
        <v>20</v>
      </c>
      <c r="P158" s="23">
        <v>78</v>
      </c>
      <c r="Q158" s="38" t="s">
        <v>106</v>
      </c>
    </row>
    <row r="159" spans="1:17" s="9" customFormat="1" x14ac:dyDescent="0.3">
      <c r="B159" s="32" t="s">
        <v>239</v>
      </c>
      <c r="C159" s="5" t="s">
        <v>226</v>
      </c>
      <c r="D159" s="63">
        <v>250000</v>
      </c>
      <c r="E159" s="6">
        <v>24</v>
      </c>
      <c r="F159" s="65">
        <v>12</v>
      </c>
      <c r="G159" s="70">
        <v>375000</v>
      </c>
      <c r="H159" s="20">
        <v>220</v>
      </c>
      <c r="I159" s="6" t="s">
        <v>97</v>
      </c>
      <c r="J159" s="6">
        <v>1500</v>
      </c>
      <c r="K159" s="65">
        <v>1500</v>
      </c>
      <c r="L159" s="6">
        <v>500</v>
      </c>
      <c r="M159" s="20">
        <v>24</v>
      </c>
      <c r="N159" s="6">
        <v>40.9</v>
      </c>
      <c r="O159" s="37">
        <v>25</v>
      </c>
      <c r="P159" s="6">
        <v>16.2</v>
      </c>
      <c r="Q159" s="37" t="s">
        <v>99</v>
      </c>
    </row>
    <row r="160" spans="1:17" ht="15" customHeight="1" x14ac:dyDescent="0.3">
      <c r="A160" s="9"/>
      <c r="B160" s="34" t="s">
        <v>257</v>
      </c>
      <c r="C160" s="21" t="s">
        <v>226</v>
      </c>
      <c r="D160" s="63">
        <v>110000</v>
      </c>
      <c r="E160" s="23">
        <v>20</v>
      </c>
      <c r="F160" s="65">
        <v>10</v>
      </c>
      <c r="G160" s="70">
        <v>187000</v>
      </c>
      <c r="H160" s="33">
        <v>380</v>
      </c>
      <c r="I160" s="23" t="s">
        <v>101</v>
      </c>
      <c r="J160" s="23">
        <v>1000</v>
      </c>
      <c r="K160" s="65">
        <v>1100</v>
      </c>
      <c r="L160" s="23">
        <v>180</v>
      </c>
      <c r="M160" s="33">
        <v>20</v>
      </c>
      <c r="N160" s="23">
        <v>183.8</v>
      </c>
      <c r="O160" s="38">
        <v>25</v>
      </c>
      <c r="P160" s="23">
        <v>91</v>
      </c>
      <c r="Q160" s="38" t="s">
        <v>177</v>
      </c>
    </row>
    <row r="161" spans="1:17" s="9" customFormat="1" x14ac:dyDescent="0.3">
      <c r="B161" s="32" t="s">
        <v>240</v>
      </c>
      <c r="C161" s="5" t="s">
        <v>226</v>
      </c>
      <c r="D161" s="63">
        <v>100000</v>
      </c>
      <c r="E161" s="6">
        <v>20</v>
      </c>
      <c r="F161" s="65">
        <v>10</v>
      </c>
      <c r="G161" s="70">
        <v>170000</v>
      </c>
      <c r="H161" s="20">
        <v>380</v>
      </c>
      <c r="I161" s="6" t="s">
        <v>101</v>
      </c>
      <c r="J161" s="6">
        <v>1000</v>
      </c>
      <c r="K161" s="65">
        <v>1100</v>
      </c>
      <c r="L161" s="6">
        <v>180</v>
      </c>
      <c r="M161" s="20">
        <v>20</v>
      </c>
      <c r="N161" s="6">
        <v>167.1</v>
      </c>
      <c r="O161" s="37">
        <v>25</v>
      </c>
      <c r="P161" s="6">
        <v>91</v>
      </c>
      <c r="Q161" s="37" t="s">
        <v>177</v>
      </c>
    </row>
    <row r="162" spans="1:17" x14ac:dyDescent="0.3">
      <c r="A162" s="9"/>
      <c r="B162" s="33" t="s">
        <v>241</v>
      </c>
      <c r="C162" s="21" t="s">
        <v>226</v>
      </c>
      <c r="D162" s="63">
        <v>75000</v>
      </c>
      <c r="E162" s="23">
        <v>12</v>
      </c>
      <c r="F162" s="65">
        <v>6</v>
      </c>
      <c r="G162" s="70">
        <v>126000</v>
      </c>
      <c r="H162" s="33">
        <v>380</v>
      </c>
      <c r="I162" s="23" t="s">
        <v>101</v>
      </c>
      <c r="J162" s="23">
        <v>1000</v>
      </c>
      <c r="K162" s="65">
        <v>1100</v>
      </c>
      <c r="L162" s="23">
        <v>180</v>
      </c>
      <c r="M162" s="33">
        <v>12</v>
      </c>
      <c r="N162" s="23">
        <v>114</v>
      </c>
      <c r="O162" s="33">
        <v>25</v>
      </c>
      <c r="P162" s="23">
        <v>84</v>
      </c>
      <c r="Q162" s="38" t="s">
        <v>112</v>
      </c>
    </row>
    <row r="163" spans="1:17" s="9" customFormat="1" x14ac:dyDescent="0.3">
      <c r="B163" s="20" t="s">
        <v>242</v>
      </c>
      <c r="C163" s="5" t="s">
        <v>226</v>
      </c>
      <c r="D163" s="63">
        <v>9000</v>
      </c>
      <c r="E163" s="6">
        <v>3</v>
      </c>
      <c r="F163" s="65">
        <v>3</v>
      </c>
      <c r="G163" s="70">
        <v>16200</v>
      </c>
      <c r="H163" s="20">
        <v>380</v>
      </c>
      <c r="I163" s="6" t="s">
        <v>101</v>
      </c>
      <c r="J163" s="6">
        <v>500</v>
      </c>
      <c r="K163" s="65">
        <v>550</v>
      </c>
      <c r="L163" s="6">
        <v>60</v>
      </c>
      <c r="M163" s="20">
        <v>3</v>
      </c>
      <c r="N163" s="6">
        <v>100.3</v>
      </c>
      <c r="O163" s="20">
        <v>25</v>
      </c>
      <c r="P163" s="6">
        <v>53.7</v>
      </c>
      <c r="Q163" s="37" t="s">
        <v>106</v>
      </c>
    </row>
    <row r="164" spans="1:17" x14ac:dyDescent="0.3">
      <c r="A164" s="9"/>
      <c r="B164" s="33" t="s">
        <v>404</v>
      </c>
      <c r="C164" s="21" t="s">
        <v>226</v>
      </c>
      <c r="D164" s="63">
        <v>37500</v>
      </c>
      <c r="E164" s="23">
        <v>8</v>
      </c>
      <c r="F164" s="65">
        <v>4</v>
      </c>
      <c r="G164" s="70">
        <v>75000</v>
      </c>
      <c r="H164" s="33">
        <v>380</v>
      </c>
      <c r="I164" s="23" t="s">
        <v>101</v>
      </c>
      <c r="J164" s="23">
        <v>850</v>
      </c>
      <c r="K164" s="65">
        <v>1000</v>
      </c>
      <c r="L164" s="23">
        <v>180</v>
      </c>
      <c r="M164" s="33">
        <v>8</v>
      </c>
      <c r="N164" s="23">
        <v>57</v>
      </c>
      <c r="O164" s="33">
        <v>30</v>
      </c>
      <c r="P164" s="23">
        <v>42.1</v>
      </c>
      <c r="Q164" s="38" t="s">
        <v>105</v>
      </c>
    </row>
    <row r="165" spans="1:17" s="9" customFormat="1" x14ac:dyDescent="0.3">
      <c r="B165" s="20" t="s">
        <v>405</v>
      </c>
      <c r="C165" s="5" t="s">
        <v>226</v>
      </c>
      <c r="D165" s="63">
        <v>7500</v>
      </c>
      <c r="E165" s="6">
        <v>4</v>
      </c>
      <c r="F165" s="65">
        <v>2</v>
      </c>
      <c r="G165" s="70">
        <v>16000</v>
      </c>
      <c r="H165" s="20">
        <v>220</v>
      </c>
      <c r="I165" s="6" t="s">
        <v>101</v>
      </c>
      <c r="J165" s="6">
        <v>435</v>
      </c>
      <c r="K165" s="65">
        <v>500</v>
      </c>
      <c r="L165" s="6">
        <v>90</v>
      </c>
      <c r="M165" s="20">
        <v>4</v>
      </c>
      <c r="N165" s="6">
        <v>98.4</v>
      </c>
      <c r="O165" s="20">
        <v>24</v>
      </c>
      <c r="P165" s="6">
        <v>53.7</v>
      </c>
      <c r="Q165" s="37" t="s">
        <v>105</v>
      </c>
    </row>
    <row r="166" spans="1:17" x14ac:dyDescent="0.3">
      <c r="A166" s="9"/>
      <c r="B166" s="33" t="s">
        <v>406</v>
      </c>
      <c r="C166" s="21" t="s">
        <v>226</v>
      </c>
      <c r="D166" s="63">
        <v>5000</v>
      </c>
      <c r="E166" s="23">
        <v>2</v>
      </c>
      <c r="F166" s="65">
        <v>2</v>
      </c>
      <c r="G166" s="70">
        <v>10000</v>
      </c>
      <c r="H166" s="33">
        <v>220</v>
      </c>
      <c r="I166" s="23" t="s">
        <v>97</v>
      </c>
      <c r="J166" s="23">
        <v>435</v>
      </c>
      <c r="K166" s="65">
        <v>500</v>
      </c>
      <c r="L166" s="23">
        <v>90</v>
      </c>
      <c r="M166" s="33">
        <v>2</v>
      </c>
      <c r="N166" s="23">
        <v>18.2</v>
      </c>
      <c r="O166" s="33">
        <v>20</v>
      </c>
      <c r="P166" s="23">
        <v>8.9</v>
      </c>
      <c r="Q166" s="38" t="s">
        <v>98</v>
      </c>
    </row>
    <row r="167" spans="1:17" s="9" customFormat="1" x14ac:dyDescent="0.3">
      <c r="B167" s="20" t="s">
        <v>343</v>
      </c>
      <c r="C167" s="5" t="s">
        <v>414</v>
      </c>
      <c r="D167" s="63">
        <v>7500</v>
      </c>
      <c r="E167" s="6">
        <v>2</v>
      </c>
      <c r="F167" s="63">
        <v>2</v>
      </c>
      <c r="G167" s="70">
        <v>12000</v>
      </c>
      <c r="H167" s="20">
        <v>220</v>
      </c>
      <c r="I167" s="6" t="s">
        <v>97</v>
      </c>
      <c r="J167" s="6">
        <v>550</v>
      </c>
      <c r="K167" s="63">
        <v>560</v>
      </c>
      <c r="L167" s="6">
        <v>100</v>
      </c>
      <c r="M167" s="20">
        <v>2</v>
      </c>
      <c r="N167" s="6">
        <v>27.3</v>
      </c>
      <c r="O167" s="20">
        <v>22.5</v>
      </c>
      <c r="P167" s="6">
        <v>9</v>
      </c>
      <c r="Q167" s="37" t="s">
        <v>98</v>
      </c>
    </row>
    <row r="168" spans="1:17" x14ac:dyDescent="0.3">
      <c r="A168" s="9"/>
      <c r="B168" s="33" t="s">
        <v>344</v>
      </c>
      <c r="C168" s="21" t="s">
        <v>414</v>
      </c>
      <c r="D168" s="63">
        <v>7500</v>
      </c>
      <c r="E168" s="23">
        <v>3</v>
      </c>
      <c r="F168" s="63">
        <v>3</v>
      </c>
      <c r="G168" s="70">
        <v>12000</v>
      </c>
      <c r="H168" s="33">
        <v>220</v>
      </c>
      <c r="I168" s="23" t="s">
        <v>97</v>
      </c>
      <c r="J168" s="23">
        <v>560</v>
      </c>
      <c r="K168" s="63">
        <v>600</v>
      </c>
      <c r="L168" s="23">
        <v>100</v>
      </c>
      <c r="M168" s="33">
        <v>3</v>
      </c>
      <c r="N168" s="23">
        <v>36.4</v>
      </c>
      <c r="O168" s="33">
        <v>22.5</v>
      </c>
      <c r="P168" s="23">
        <v>13.5</v>
      </c>
      <c r="Q168" s="38" t="s">
        <v>123</v>
      </c>
    </row>
    <row r="169" spans="1:17" s="9" customFormat="1" x14ac:dyDescent="0.3">
      <c r="B169" s="20" t="s">
        <v>115</v>
      </c>
      <c r="C169" s="5" t="s">
        <v>116</v>
      </c>
      <c r="D169" s="63">
        <v>60000</v>
      </c>
      <c r="E169" s="6">
        <v>14</v>
      </c>
      <c r="F169" s="65">
        <v>1</v>
      </c>
      <c r="G169" s="70">
        <v>84000</v>
      </c>
      <c r="H169" s="20">
        <v>380</v>
      </c>
      <c r="I169" s="6" t="s">
        <v>101</v>
      </c>
      <c r="J169" s="6">
        <v>950</v>
      </c>
      <c r="K169" s="65">
        <v>1000</v>
      </c>
      <c r="L169" s="6">
        <v>620</v>
      </c>
      <c r="M169" s="20">
        <v>14</v>
      </c>
      <c r="N169" s="6">
        <v>83.6</v>
      </c>
      <c r="O169" s="20">
        <v>10</v>
      </c>
      <c r="P169" s="6">
        <v>53.7</v>
      </c>
      <c r="Q169" s="37" t="s">
        <v>152</v>
      </c>
    </row>
    <row r="170" spans="1:17" x14ac:dyDescent="0.3">
      <c r="A170" s="9"/>
      <c r="B170" s="33" t="s">
        <v>149</v>
      </c>
      <c r="C170" s="21" t="s">
        <v>116</v>
      </c>
      <c r="D170" s="63">
        <v>36000</v>
      </c>
      <c r="E170" s="23">
        <v>8</v>
      </c>
      <c r="F170" s="65">
        <v>3</v>
      </c>
      <c r="G170" s="70">
        <v>50400</v>
      </c>
      <c r="H170" s="33">
        <v>220</v>
      </c>
      <c r="I170" s="23" t="s">
        <v>101</v>
      </c>
      <c r="J170" s="23">
        <v>1000</v>
      </c>
      <c r="K170" s="65">
        <v>1100</v>
      </c>
      <c r="L170" s="23">
        <v>250</v>
      </c>
      <c r="M170" s="33">
        <v>8</v>
      </c>
      <c r="N170" s="23">
        <v>86.6</v>
      </c>
      <c r="O170" s="33">
        <v>12</v>
      </c>
      <c r="P170" s="23">
        <v>53.7</v>
      </c>
      <c r="Q170" s="38" t="s">
        <v>105</v>
      </c>
    </row>
    <row r="171" spans="1:17" s="9" customFormat="1" x14ac:dyDescent="0.3">
      <c r="B171" s="20" t="s">
        <v>118</v>
      </c>
      <c r="C171" s="5" t="s">
        <v>116</v>
      </c>
      <c r="D171" s="63">
        <v>125000</v>
      </c>
      <c r="E171" s="6">
        <v>1</v>
      </c>
      <c r="F171" s="65">
        <v>1</v>
      </c>
      <c r="G171" s="70">
        <v>187500</v>
      </c>
      <c r="H171" s="20">
        <v>220</v>
      </c>
      <c r="I171" s="6" t="s">
        <v>97</v>
      </c>
      <c r="J171" s="6">
        <v>1450</v>
      </c>
      <c r="K171" s="65">
        <v>1500</v>
      </c>
      <c r="L171" s="6">
        <v>920</v>
      </c>
      <c r="M171" s="20">
        <v>1</v>
      </c>
      <c r="N171" s="6">
        <v>31.8</v>
      </c>
      <c r="O171" s="20">
        <v>240</v>
      </c>
      <c r="P171" s="6">
        <v>13.5</v>
      </c>
      <c r="Q171" s="37" t="s">
        <v>123</v>
      </c>
    </row>
    <row r="172" spans="1:17" x14ac:dyDescent="0.3">
      <c r="A172" s="9"/>
      <c r="B172" s="33" t="s">
        <v>151</v>
      </c>
      <c r="C172" s="21" t="s">
        <v>116</v>
      </c>
      <c r="D172" s="63">
        <v>50000</v>
      </c>
      <c r="E172" s="23">
        <v>10</v>
      </c>
      <c r="F172" s="65">
        <v>5</v>
      </c>
      <c r="G172" s="70">
        <v>90000</v>
      </c>
      <c r="H172" s="35">
        <v>220</v>
      </c>
      <c r="I172" s="23" t="s">
        <v>101</v>
      </c>
      <c r="J172" s="23">
        <v>1000</v>
      </c>
      <c r="K172" s="65">
        <v>1100</v>
      </c>
      <c r="L172" s="23">
        <v>250</v>
      </c>
      <c r="M172" s="35">
        <v>10</v>
      </c>
      <c r="N172" s="23">
        <v>173.2</v>
      </c>
      <c r="O172" s="35">
        <v>20</v>
      </c>
      <c r="P172" s="23">
        <v>93</v>
      </c>
      <c r="Q172" s="39" t="s">
        <v>168</v>
      </c>
    </row>
    <row r="173" spans="1:17" s="9" customFormat="1" x14ac:dyDescent="0.3">
      <c r="B173" s="20" t="s">
        <v>119</v>
      </c>
      <c r="C173" s="5" t="s">
        <v>116</v>
      </c>
      <c r="D173" s="63">
        <v>110000</v>
      </c>
      <c r="E173" s="6">
        <v>18</v>
      </c>
      <c r="F173" s="65">
        <v>9</v>
      </c>
      <c r="G173" s="70">
        <v>165000</v>
      </c>
      <c r="H173" s="36">
        <v>220</v>
      </c>
      <c r="I173" s="6" t="s">
        <v>101</v>
      </c>
      <c r="J173" s="6">
        <v>1000</v>
      </c>
      <c r="K173" s="65">
        <v>1100</v>
      </c>
      <c r="L173" s="6">
        <v>250</v>
      </c>
      <c r="M173" s="36">
        <v>18</v>
      </c>
      <c r="N173" s="6">
        <v>43.3</v>
      </c>
      <c r="O173" s="36">
        <v>20</v>
      </c>
      <c r="P173" s="6">
        <v>38.200000000000003</v>
      </c>
      <c r="Q173" s="40" t="s">
        <v>126</v>
      </c>
    </row>
    <row r="174" spans="1:17" x14ac:dyDescent="0.3">
      <c r="A174" s="9"/>
      <c r="B174" s="33" t="s">
        <v>153</v>
      </c>
      <c r="C174" s="21" t="s">
        <v>116</v>
      </c>
      <c r="D174" s="63">
        <v>3000</v>
      </c>
      <c r="E174" s="23">
        <v>2</v>
      </c>
      <c r="F174" s="65">
        <v>2</v>
      </c>
      <c r="G174" s="70">
        <v>4000</v>
      </c>
      <c r="H174" s="35">
        <v>220</v>
      </c>
      <c r="I174" s="23" t="s">
        <v>97</v>
      </c>
      <c r="J174" s="23">
        <v>560</v>
      </c>
      <c r="K174" s="65">
        <v>600</v>
      </c>
      <c r="L174" s="23">
        <v>120</v>
      </c>
      <c r="M174" s="35">
        <v>2</v>
      </c>
      <c r="N174" s="23">
        <v>31.8</v>
      </c>
      <c r="O174" s="35">
        <v>15</v>
      </c>
      <c r="P174" s="23">
        <v>13.5</v>
      </c>
      <c r="Q174" s="39" t="s">
        <v>123</v>
      </c>
    </row>
    <row r="175" spans="1:17" s="9" customFormat="1" x14ac:dyDescent="0.3">
      <c r="B175" s="20" t="s">
        <v>120</v>
      </c>
      <c r="C175" s="5" t="s">
        <v>116</v>
      </c>
      <c r="D175" s="63">
        <v>2000</v>
      </c>
      <c r="E175" s="6">
        <v>1</v>
      </c>
      <c r="F175" s="65">
        <v>1</v>
      </c>
      <c r="G175" s="70">
        <v>3000</v>
      </c>
      <c r="H175" s="36">
        <v>220</v>
      </c>
      <c r="I175" s="6" t="s">
        <v>97</v>
      </c>
      <c r="J175" s="6">
        <v>560</v>
      </c>
      <c r="K175" s="65">
        <v>600</v>
      </c>
      <c r="L175" s="6">
        <v>120</v>
      </c>
      <c r="M175" s="36">
        <v>1</v>
      </c>
      <c r="N175" s="6">
        <v>36.4</v>
      </c>
      <c r="O175" s="36">
        <v>15</v>
      </c>
      <c r="P175" s="6">
        <v>13.5</v>
      </c>
      <c r="Q175" s="40" t="s">
        <v>123</v>
      </c>
    </row>
    <row r="176" spans="1:17" x14ac:dyDescent="0.3">
      <c r="A176" s="9"/>
      <c r="B176" s="33" t="s">
        <v>154</v>
      </c>
      <c r="C176" s="21" t="s">
        <v>116</v>
      </c>
      <c r="D176" s="63">
        <v>4000</v>
      </c>
      <c r="E176" s="23">
        <v>2</v>
      </c>
      <c r="F176" s="65">
        <v>2</v>
      </c>
      <c r="G176" s="70">
        <v>5200</v>
      </c>
      <c r="H176" s="35">
        <v>380</v>
      </c>
      <c r="I176" s="23" t="s">
        <v>101</v>
      </c>
      <c r="J176" s="23">
        <v>560</v>
      </c>
      <c r="K176" s="65">
        <v>600</v>
      </c>
      <c r="L176" s="23">
        <v>120</v>
      </c>
      <c r="M176" s="35">
        <v>2</v>
      </c>
      <c r="N176" s="23">
        <v>183.8</v>
      </c>
      <c r="O176" s="35">
        <v>15</v>
      </c>
      <c r="P176" s="23">
        <v>96</v>
      </c>
      <c r="Q176" s="39" t="s">
        <v>177</v>
      </c>
    </row>
    <row r="177" spans="2:17" x14ac:dyDescent="0.3">
      <c r="B177" s="66" t="s">
        <v>121</v>
      </c>
      <c r="C177" s="66" t="s">
        <v>116</v>
      </c>
      <c r="D177" s="63">
        <v>5000</v>
      </c>
      <c r="E177" s="68">
        <v>2</v>
      </c>
      <c r="F177" s="65">
        <v>2</v>
      </c>
      <c r="G177" s="70">
        <v>6500</v>
      </c>
      <c r="H177" s="67"/>
      <c r="I177" s="67"/>
      <c r="J177" s="67">
        <v>560</v>
      </c>
      <c r="K177" s="65">
        <v>600</v>
      </c>
      <c r="L177" s="67">
        <v>120</v>
      </c>
      <c r="M177" s="68">
        <v>2</v>
      </c>
      <c r="N177" s="68"/>
      <c r="O177" s="67">
        <v>15</v>
      </c>
      <c r="P177" s="67"/>
      <c r="Q177" s="67"/>
    </row>
    <row r="178" spans="2:17" x14ac:dyDescent="0.3">
      <c r="B178" s="66" t="s">
        <v>155</v>
      </c>
      <c r="C178" s="66" t="s">
        <v>116</v>
      </c>
      <c r="D178" s="63">
        <v>6000</v>
      </c>
      <c r="E178" s="68">
        <v>2</v>
      </c>
      <c r="F178" s="65">
        <v>2</v>
      </c>
      <c r="G178" s="70">
        <v>7800</v>
      </c>
      <c r="H178" s="67"/>
      <c r="I178" s="67"/>
      <c r="J178" s="67">
        <v>560</v>
      </c>
      <c r="K178" s="65">
        <v>600</v>
      </c>
      <c r="L178" s="67">
        <v>120</v>
      </c>
      <c r="M178" s="68">
        <v>2</v>
      </c>
      <c r="N178" s="68"/>
      <c r="O178" s="67">
        <v>15</v>
      </c>
      <c r="P178" s="67"/>
      <c r="Q178" s="69"/>
    </row>
    <row r="179" spans="2:17" x14ac:dyDescent="0.3">
      <c r="B179" s="66" t="s">
        <v>122</v>
      </c>
      <c r="C179" s="66" t="s">
        <v>116</v>
      </c>
      <c r="D179" s="63">
        <v>8300</v>
      </c>
      <c r="E179" s="68">
        <v>3</v>
      </c>
      <c r="F179" s="65">
        <v>2</v>
      </c>
      <c r="G179" s="70">
        <v>11700</v>
      </c>
      <c r="H179" s="67"/>
      <c r="I179" s="67"/>
      <c r="J179" s="67">
        <v>560</v>
      </c>
      <c r="K179" s="65">
        <v>600</v>
      </c>
      <c r="L179" s="67">
        <v>120</v>
      </c>
      <c r="M179" s="68">
        <v>3</v>
      </c>
      <c r="N179" s="68"/>
      <c r="O179" s="67">
        <v>15</v>
      </c>
      <c r="P179" s="67"/>
      <c r="Q179" s="69"/>
    </row>
    <row r="180" spans="2:17" x14ac:dyDescent="0.3">
      <c r="B180" s="66" t="s">
        <v>156</v>
      </c>
      <c r="C180" s="66" t="s">
        <v>116</v>
      </c>
      <c r="D180" s="63">
        <v>33000</v>
      </c>
      <c r="E180" s="68">
        <v>6</v>
      </c>
      <c r="F180" s="65">
        <v>3</v>
      </c>
      <c r="G180" s="70">
        <v>59400</v>
      </c>
      <c r="H180" s="67"/>
      <c r="I180" s="67"/>
      <c r="J180" s="67">
        <v>1000</v>
      </c>
      <c r="K180" s="65">
        <v>1100</v>
      </c>
      <c r="L180" s="67">
        <v>250</v>
      </c>
      <c r="M180" s="68">
        <v>6</v>
      </c>
      <c r="N180" s="68"/>
      <c r="O180" s="67">
        <v>20</v>
      </c>
      <c r="P180" s="67"/>
      <c r="Q180" s="69"/>
    </row>
    <row r="181" spans="2:17" x14ac:dyDescent="0.3">
      <c r="B181" s="66" t="s">
        <v>124</v>
      </c>
      <c r="C181" s="66" t="s">
        <v>116</v>
      </c>
      <c r="D181" s="63">
        <v>40000</v>
      </c>
      <c r="E181" s="68">
        <v>8</v>
      </c>
      <c r="F181" s="65">
        <v>4</v>
      </c>
      <c r="G181" s="70">
        <v>72000</v>
      </c>
      <c r="H181" s="67"/>
      <c r="I181" s="67"/>
      <c r="J181" s="67">
        <v>1000</v>
      </c>
      <c r="K181" s="65">
        <v>1100</v>
      </c>
      <c r="L181" s="67">
        <v>250</v>
      </c>
      <c r="M181" s="68">
        <v>8</v>
      </c>
      <c r="N181" s="68"/>
      <c r="O181" s="67">
        <v>20</v>
      </c>
      <c r="P181" s="67"/>
      <c r="Q181" s="69"/>
    </row>
    <row r="182" spans="2:17" x14ac:dyDescent="0.3">
      <c r="B182" s="66" t="s">
        <v>157</v>
      </c>
      <c r="C182" s="66" t="s">
        <v>116</v>
      </c>
      <c r="D182" s="63">
        <v>12000</v>
      </c>
      <c r="E182" s="68">
        <v>2</v>
      </c>
      <c r="F182" s="65">
        <v>2</v>
      </c>
      <c r="G182" s="70">
        <v>21600</v>
      </c>
      <c r="H182" s="67"/>
      <c r="I182" s="67"/>
      <c r="J182" s="67">
        <v>1000</v>
      </c>
      <c r="K182" s="65">
        <v>1100</v>
      </c>
      <c r="L182" s="67">
        <v>250</v>
      </c>
      <c r="M182" s="68">
        <v>2</v>
      </c>
      <c r="N182" s="68"/>
      <c r="O182" s="67">
        <v>15</v>
      </c>
      <c r="P182" s="67"/>
      <c r="Q182" s="69"/>
    </row>
    <row r="183" spans="2:17" x14ac:dyDescent="0.3">
      <c r="B183" s="66" t="s">
        <v>125</v>
      </c>
      <c r="C183" s="66" t="s">
        <v>116</v>
      </c>
      <c r="D183" s="63">
        <v>25000</v>
      </c>
      <c r="E183" s="68">
        <v>6</v>
      </c>
      <c r="F183" s="65">
        <v>3</v>
      </c>
      <c r="G183" s="70">
        <v>45000</v>
      </c>
      <c r="H183" s="67"/>
      <c r="I183" s="67"/>
      <c r="J183" s="67">
        <v>1000</v>
      </c>
      <c r="K183" s="65">
        <v>1100</v>
      </c>
      <c r="L183" s="67">
        <v>250</v>
      </c>
      <c r="M183" s="68">
        <v>6</v>
      </c>
      <c r="N183" s="68"/>
      <c r="O183" s="67">
        <v>20</v>
      </c>
      <c r="P183" s="67"/>
      <c r="Q183" s="69"/>
    </row>
    <row r="184" spans="2:17" x14ac:dyDescent="0.3">
      <c r="B184" s="66" t="s">
        <v>127</v>
      </c>
      <c r="C184" s="66" t="s">
        <v>116</v>
      </c>
      <c r="D184" s="63">
        <v>250000</v>
      </c>
      <c r="E184" s="68">
        <v>24</v>
      </c>
      <c r="F184" s="65">
        <v>12</v>
      </c>
      <c r="G184" s="70">
        <v>375000</v>
      </c>
      <c r="H184" s="67"/>
      <c r="I184" s="67"/>
      <c r="J184" s="67">
        <v>1500</v>
      </c>
      <c r="K184" s="65">
        <v>1500</v>
      </c>
      <c r="L184" s="67">
        <v>500</v>
      </c>
      <c r="M184" s="68">
        <v>24</v>
      </c>
      <c r="N184" s="68"/>
      <c r="O184" s="67">
        <v>25</v>
      </c>
      <c r="P184" s="67"/>
      <c r="Q184" s="69"/>
    </row>
    <row r="185" spans="2:17" x14ac:dyDescent="0.3">
      <c r="B185" s="66" t="s">
        <v>129</v>
      </c>
      <c r="C185" s="66" t="s">
        <v>116</v>
      </c>
      <c r="D185" s="63">
        <v>75000</v>
      </c>
      <c r="E185" s="68">
        <v>18</v>
      </c>
      <c r="F185" s="65">
        <v>9</v>
      </c>
      <c r="G185" s="70">
        <v>135000</v>
      </c>
      <c r="H185" s="67"/>
      <c r="I185" s="67"/>
      <c r="J185" s="67">
        <v>1000</v>
      </c>
      <c r="K185" s="65">
        <v>1100</v>
      </c>
      <c r="L185" s="67">
        <v>250</v>
      </c>
      <c r="M185" s="68">
        <v>18</v>
      </c>
      <c r="N185" s="68"/>
      <c r="O185" s="67">
        <v>20</v>
      </c>
      <c r="P185" s="67"/>
      <c r="Q185" s="69"/>
    </row>
    <row r="186" spans="2:17" x14ac:dyDescent="0.3">
      <c r="B186" s="66" t="s">
        <v>130</v>
      </c>
      <c r="C186" s="66" t="s">
        <v>116</v>
      </c>
      <c r="D186" s="63">
        <v>12000</v>
      </c>
      <c r="E186" s="68">
        <v>3</v>
      </c>
      <c r="F186" s="65">
        <v>2</v>
      </c>
      <c r="G186" s="70">
        <v>18000</v>
      </c>
      <c r="H186" s="67"/>
      <c r="I186" s="67"/>
      <c r="J186" s="67">
        <v>1000</v>
      </c>
      <c r="K186" s="65">
        <v>1100</v>
      </c>
      <c r="L186" s="67">
        <v>180</v>
      </c>
      <c r="M186" s="68">
        <v>3</v>
      </c>
      <c r="N186" s="68"/>
      <c r="O186" s="67">
        <v>16</v>
      </c>
      <c r="P186" s="67"/>
      <c r="Q186" s="69"/>
    </row>
    <row r="187" spans="2:17" x14ac:dyDescent="0.3">
      <c r="B187" s="66" t="s">
        <v>158</v>
      </c>
      <c r="C187" s="66" t="s">
        <v>116</v>
      </c>
      <c r="D187" s="63">
        <v>15000</v>
      </c>
      <c r="E187" s="68">
        <v>4</v>
      </c>
      <c r="F187" s="65">
        <v>2</v>
      </c>
      <c r="G187" s="70">
        <v>22500</v>
      </c>
      <c r="H187" s="67"/>
      <c r="I187" s="67"/>
      <c r="J187" s="67">
        <v>1000</v>
      </c>
      <c r="K187" s="65">
        <v>1100</v>
      </c>
      <c r="L187" s="67">
        <v>180</v>
      </c>
      <c r="M187" s="68">
        <v>4</v>
      </c>
      <c r="N187" s="68"/>
      <c r="O187" s="67">
        <v>16</v>
      </c>
      <c r="P187" s="67"/>
      <c r="Q187" s="69"/>
    </row>
    <row r="188" spans="2:17" x14ac:dyDescent="0.3">
      <c r="B188" s="66" t="s">
        <v>132</v>
      </c>
      <c r="C188" s="66" t="s">
        <v>116</v>
      </c>
      <c r="D188" s="63">
        <v>20000</v>
      </c>
      <c r="E188" s="68">
        <v>4</v>
      </c>
      <c r="F188" s="65">
        <v>2</v>
      </c>
      <c r="G188" s="70">
        <v>30000</v>
      </c>
      <c r="H188" s="67"/>
      <c r="I188" s="67"/>
      <c r="J188" s="67">
        <v>1000</v>
      </c>
      <c r="K188" s="65">
        <v>1100</v>
      </c>
      <c r="L188" s="67">
        <v>180</v>
      </c>
      <c r="M188" s="68">
        <v>4</v>
      </c>
      <c r="N188" s="68"/>
      <c r="O188" s="67">
        <v>16</v>
      </c>
      <c r="P188" s="67"/>
      <c r="Q188" s="69"/>
    </row>
    <row r="189" spans="2:17" x14ac:dyDescent="0.3">
      <c r="B189" s="66" t="s">
        <v>133</v>
      </c>
      <c r="C189" s="66" t="s">
        <v>116</v>
      </c>
      <c r="D189" s="63">
        <v>3000</v>
      </c>
      <c r="E189" s="68">
        <v>1</v>
      </c>
      <c r="F189" s="65">
        <v>1</v>
      </c>
      <c r="G189" s="70">
        <v>4500</v>
      </c>
      <c r="H189" s="67"/>
      <c r="I189" s="67"/>
      <c r="J189" s="67">
        <v>560</v>
      </c>
      <c r="K189" s="65">
        <v>600</v>
      </c>
      <c r="L189" s="67">
        <v>50</v>
      </c>
      <c r="M189" s="68">
        <v>1</v>
      </c>
      <c r="N189" s="68"/>
      <c r="O189" s="67">
        <v>20</v>
      </c>
      <c r="P189" s="67"/>
      <c r="Q189" s="69"/>
    </row>
    <row r="190" spans="2:17" x14ac:dyDescent="0.3">
      <c r="B190" s="66" t="s">
        <v>159</v>
      </c>
      <c r="C190" s="66" t="s">
        <v>116</v>
      </c>
      <c r="D190" s="63">
        <v>4000</v>
      </c>
      <c r="E190" s="68">
        <v>2</v>
      </c>
      <c r="F190" s="65">
        <v>2</v>
      </c>
      <c r="G190" s="70">
        <v>6000</v>
      </c>
      <c r="H190" s="67"/>
      <c r="I190" s="67"/>
      <c r="J190" s="67">
        <v>560</v>
      </c>
      <c r="K190" s="65">
        <v>600</v>
      </c>
      <c r="L190" s="67">
        <v>50</v>
      </c>
      <c r="M190" s="68">
        <v>2</v>
      </c>
      <c r="N190" s="68"/>
      <c r="O190" s="67">
        <v>20</v>
      </c>
      <c r="P190" s="67"/>
      <c r="Q190" s="69"/>
    </row>
    <row r="191" spans="2:17" x14ac:dyDescent="0.3">
      <c r="B191" s="66" t="s">
        <v>134</v>
      </c>
      <c r="C191" s="66" t="s">
        <v>116</v>
      </c>
      <c r="D191" s="63">
        <v>5000</v>
      </c>
      <c r="E191" s="68">
        <v>2</v>
      </c>
      <c r="F191" s="65">
        <v>2</v>
      </c>
      <c r="G191" s="70">
        <v>7500</v>
      </c>
      <c r="H191" s="67"/>
      <c r="I191" s="67"/>
      <c r="J191" s="67">
        <v>560</v>
      </c>
      <c r="K191" s="65">
        <v>600</v>
      </c>
      <c r="L191" s="67">
        <v>50</v>
      </c>
      <c r="M191" s="68">
        <v>2</v>
      </c>
      <c r="N191" s="68"/>
      <c r="O191" s="67">
        <v>20</v>
      </c>
      <c r="P191" s="67"/>
      <c r="Q191" s="69"/>
    </row>
    <row r="192" spans="2:17" x14ac:dyDescent="0.3">
      <c r="B192" s="66" t="s">
        <v>160</v>
      </c>
      <c r="C192" s="66" t="s">
        <v>116</v>
      </c>
      <c r="D192" s="63">
        <v>6000</v>
      </c>
      <c r="E192" s="68">
        <v>2</v>
      </c>
      <c r="F192" s="65">
        <v>2</v>
      </c>
      <c r="G192" s="70">
        <v>9000</v>
      </c>
      <c r="H192" s="67"/>
      <c r="I192" s="67"/>
      <c r="J192" s="67">
        <v>560</v>
      </c>
      <c r="K192" s="65">
        <v>600</v>
      </c>
      <c r="L192" s="67">
        <v>50</v>
      </c>
      <c r="M192" s="68">
        <v>2</v>
      </c>
      <c r="N192" s="68"/>
      <c r="O192" s="67">
        <v>20</v>
      </c>
      <c r="P192" s="67"/>
      <c r="Q192" s="69"/>
    </row>
    <row r="193" spans="2:17" x14ac:dyDescent="0.3">
      <c r="B193" s="66" t="s">
        <v>135</v>
      </c>
      <c r="C193" s="66" t="s">
        <v>116</v>
      </c>
      <c r="D193" s="63">
        <v>8000</v>
      </c>
      <c r="E193" s="68">
        <v>3</v>
      </c>
      <c r="F193" s="65">
        <v>3</v>
      </c>
      <c r="G193" s="70">
        <v>12000</v>
      </c>
      <c r="H193" s="67"/>
      <c r="I193" s="67"/>
      <c r="J193" s="67">
        <v>560</v>
      </c>
      <c r="K193" s="65">
        <v>600</v>
      </c>
      <c r="L193" s="67">
        <v>50</v>
      </c>
      <c r="M193" s="68">
        <v>3</v>
      </c>
      <c r="N193" s="68"/>
      <c r="O193" s="67">
        <v>20</v>
      </c>
      <c r="P193" s="67"/>
      <c r="Q193" s="69"/>
    </row>
    <row r="194" spans="2:17" x14ac:dyDescent="0.3">
      <c r="B194" s="66" t="s">
        <v>161</v>
      </c>
      <c r="C194" s="66" t="s">
        <v>116</v>
      </c>
      <c r="D194" s="63">
        <v>9000</v>
      </c>
      <c r="E194" s="68">
        <v>3</v>
      </c>
      <c r="F194" s="65">
        <v>3</v>
      </c>
      <c r="G194" s="70">
        <v>13500</v>
      </c>
      <c r="H194" s="67"/>
      <c r="I194" s="67"/>
      <c r="J194" s="67">
        <v>560</v>
      </c>
      <c r="K194" s="65">
        <v>600</v>
      </c>
      <c r="L194" s="67">
        <v>50</v>
      </c>
      <c r="M194" s="68">
        <v>3</v>
      </c>
      <c r="N194" s="68"/>
      <c r="O194" s="67">
        <v>20</v>
      </c>
      <c r="P194" s="67"/>
      <c r="Q194" s="69"/>
    </row>
    <row r="195" spans="2:17" x14ac:dyDescent="0.3">
      <c r="B195" s="66" t="s">
        <v>136</v>
      </c>
      <c r="C195" s="66" t="s">
        <v>116</v>
      </c>
      <c r="D195" s="63">
        <v>10000</v>
      </c>
      <c r="E195" s="68">
        <v>3</v>
      </c>
      <c r="F195" s="65">
        <v>3</v>
      </c>
      <c r="G195" s="70">
        <v>15000</v>
      </c>
      <c r="H195" s="67"/>
      <c r="I195" s="67"/>
      <c r="J195" s="67">
        <v>560</v>
      </c>
      <c r="K195" s="65">
        <v>600</v>
      </c>
      <c r="L195" s="67">
        <v>50</v>
      </c>
      <c r="M195" s="68">
        <v>3</v>
      </c>
      <c r="N195" s="68"/>
      <c r="O195" s="67">
        <v>20</v>
      </c>
      <c r="P195" s="67"/>
      <c r="Q195" s="69"/>
    </row>
    <row r="196" spans="2:17" x14ac:dyDescent="0.3">
      <c r="B196" s="66" t="s">
        <v>162</v>
      </c>
      <c r="C196" s="66" t="s">
        <v>116</v>
      </c>
      <c r="D196" s="63">
        <v>50000</v>
      </c>
      <c r="E196" s="68">
        <v>8</v>
      </c>
      <c r="F196" s="65">
        <v>4</v>
      </c>
      <c r="G196" s="70">
        <v>90000</v>
      </c>
      <c r="H196" s="67"/>
      <c r="I196" s="67"/>
      <c r="J196" s="67">
        <v>1000</v>
      </c>
      <c r="K196" s="65">
        <v>1100</v>
      </c>
      <c r="L196" s="67">
        <v>200</v>
      </c>
      <c r="M196" s="68">
        <v>8</v>
      </c>
      <c r="N196" s="68"/>
      <c r="O196" s="67">
        <v>20</v>
      </c>
      <c r="P196" s="67"/>
      <c r="Q196" s="69"/>
    </row>
    <row r="197" spans="2:17" x14ac:dyDescent="0.3">
      <c r="B197" s="66" t="s">
        <v>407</v>
      </c>
      <c r="C197" s="66" t="s">
        <v>116</v>
      </c>
      <c r="D197" s="63">
        <v>40000</v>
      </c>
      <c r="E197" s="68">
        <v>8</v>
      </c>
      <c r="F197" s="65">
        <v>4</v>
      </c>
      <c r="G197" s="70">
        <v>72000</v>
      </c>
      <c r="H197" s="67"/>
      <c r="I197" s="67"/>
      <c r="J197" s="67">
        <v>1000</v>
      </c>
      <c r="K197" s="65">
        <v>1100</v>
      </c>
      <c r="L197" s="67">
        <v>200</v>
      </c>
      <c r="M197" s="68">
        <v>8</v>
      </c>
      <c r="N197" s="68"/>
      <c r="O197" s="67">
        <v>20</v>
      </c>
      <c r="P197" s="67"/>
      <c r="Q197" s="69"/>
    </row>
    <row r="198" spans="2:17" x14ac:dyDescent="0.3">
      <c r="B198" s="66" t="s">
        <v>137</v>
      </c>
      <c r="C198" s="66" t="s">
        <v>116</v>
      </c>
      <c r="D198" s="63">
        <v>25000</v>
      </c>
      <c r="E198" s="68">
        <v>6</v>
      </c>
      <c r="F198" s="65">
        <v>3</v>
      </c>
      <c r="G198" s="70">
        <v>45000</v>
      </c>
      <c r="H198" s="67"/>
      <c r="I198" s="67"/>
      <c r="J198" s="67">
        <v>1000</v>
      </c>
      <c r="K198" s="65">
        <v>1100</v>
      </c>
      <c r="L198" s="67">
        <v>200</v>
      </c>
      <c r="M198" s="68">
        <v>6</v>
      </c>
      <c r="N198" s="68"/>
      <c r="O198" s="67">
        <v>20</v>
      </c>
      <c r="P198" s="67"/>
      <c r="Q198" s="69"/>
    </row>
    <row r="199" spans="2:17" x14ac:dyDescent="0.3">
      <c r="B199" s="66" t="s">
        <v>163</v>
      </c>
      <c r="C199" s="66" t="s">
        <v>116</v>
      </c>
      <c r="D199" s="63">
        <v>30000</v>
      </c>
      <c r="E199" s="68">
        <v>6</v>
      </c>
      <c r="F199" s="65">
        <v>3</v>
      </c>
      <c r="G199" s="70">
        <v>54000</v>
      </c>
      <c r="H199" s="67"/>
      <c r="I199" s="67"/>
      <c r="J199" s="67">
        <v>1000</v>
      </c>
      <c r="K199" s="65">
        <v>1100</v>
      </c>
      <c r="L199" s="67">
        <v>200</v>
      </c>
      <c r="M199" s="68">
        <v>6</v>
      </c>
      <c r="N199" s="68"/>
      <c r="O199" s="67">
        <v>20</v>
      </c>
      <c r="P199" s="67"/>
      <c r="Q199" s="69"/>
    </row>
    <row r="200" spans="2:17" x14ac:dyDescent="0.3">
      <c r="B200" s="66" t="s">
        <v>164</v>
      </c>
      <c r="C200" s="66" t="s">
        <v>116</v>
      </c>
      <c r="D200" s="63">
        <v>333000</v>
      </c>
      <c r="E200" s="68">
        <v>24</v>
      </c>
      <c r="F200" s="65">
        <v>12</v>
      </c>
      <c r="G200" s="70">
        <v>499500</v>
      </c>
      <c r="H200" s="67"/>
      <c r="I200" s="67"/>
      <c r="J200" s="67">
        <v>1330</v>
      </c>
      <c r="K200" s="65">
        <v>1500</v>
      </c>
      <c r="L200" s="67">
        <v>550</v>
      </c>
      <c r="M200" s="68">
        <v>24</v>
      </c>
      <c r="N200" s="68"/>
      <c r="O200" s="67">
        <v>20</v>
      </c>
      <c r="P200" s="67"/>
      <c r="Q200" s="69"/>
    </row>
    <row r="201" spans="2:17" x14ac:dyDescent="0.3">
      <c r="B201" s="66" t="s">
        <v>165</v>
      </c>
      <c r="C201" s="66" t="s">
        <v>116</v>
      </c>
      <c r="D201" s="63">
        <v>15000</v>
      </c>
      <c r="E201" s="68">
        <v>4</v>
      </c>
      <c r="F201" s="65">
        <v>2</v>
      </c>
      <c r="G201" s="70">
        <v>27000</v>
      </c>
      <c r="H201" s="67"/>
      <c r="I201" s="67"/>
      <c r="J201" s="67">
        <v>800</v>
      </c>
      <c r="K201" s="65">
        <v>850</v>
      </c>
      <c r="L201" s="67">
        <v>200</v>
      </c>
      <c r="M201" s="68">
        <v>4</v>
      </c>
      <c r="N201" s="68"/>
      <c r="O201" s="67">
        <v>20</v>
      </c>
      <c r="P201" s="67"/>
      <c r="Q201" s="69"/>
    </row>
    <row r="202" spans="2:17" x14ac:dyDescent="0.3">
      <c r="B202" s="66" t="s">
        <v>138</v>
      </c>
      <c r="C202" s="66" t="s">
        <v>116</v>
      </c>
      <c r="D202" s="63">
        <v>20000</v>
      </c>
      <c r="E202" s="68">
        <v>6</v>
      </c>
      <c r="F202" s="65">
        <v>3</v>
      </c>
      <c r="G202" s="70">
        <v>36000</v>
      </c>
      <c r="H202" s="67"/>
      <c r="I202" s="67"/>
      <c r="J202" s="67">
        <v>800</v>
      </c>
      <c r="K202" s="65">
        <v>850</v>
      </c>
      <c r="L202" s="67">
        <v>200</v>
      </c>
      <c r="M202" s="68">
        <v>6</v>
      </c>
      <c r="N202" s="68"/>
      <c r="O202" s="67">
        <v>20</v>
      </c>
      <c r="P202" s="67"/>
      <c r="Q202" s="69"/>
    </row>
    <row r="203" spans="2:17" x14ac:dyDescent="0.3">
      <c r="B203" s="66" t="s">
        <v>166</v>
      </c>
      <c r="C203" s="66" t="s">
        <v>116</v>
      </c>
      <c r="D203" s="63">
        <v>25000</v>
      </c>
      <c r="E203" s="68">
        <v>6</v>
      </c>
      <c r="F203" s="65">
        <v>3</v>
      </c>
      <c r="G203" s="70">
        <v>45000</v>
      </c>
      <c r="H203" s="67"/>
      <c r="I203" s="67"/>
      <c r="J203" s="67">
        <v>800</v>
      </c>
      <c r="K203" s="65">
        <v>850</v>
      </c>
      <c r="L203" s="67">
        <v>200</v>
      </c>
      <c r="M203" s="68">
        <v>6</v>
      </c>
      <c r="N203" s="68"/>
      <c r="O203" s="67">
        <v>20</v>
      </c>
      <c r="P203" s="67"/>
      <c r="Q203" s="69"/>
    </row>
    <row r="204" spans="2:17" x14ac:dyDescent="0.3">
      <c r="B204" s="66" t="s">
        <v>167</v>
      </c>
      <c r="C204" s="66" t="s">
        <v>116</v>
      </c>
      <c r="D204" s="63">
        <v>75000</v>
      </c>
      <c r="E204" s="68">
        <v>16</v>
      </c>
      <c r="F204" s="65">
        <v>8</v>
      </c>
      <c r="G204" s="70">
        <v>135000</v>
      </c>
      <c r="H204" s="67"/>
      <c r="I204" s="67"/>
      <c r="J204" s="67">
        <v>1000</v>
      </c>
      <c r="K204" s="65">
        <v>1100</v>
      </c>
      <c r="L204" s="67">
        <v>200</v>
      </c>
      <c r="M204" s="68">
        <v>16</v>
      </c>
      <c r="N204" s="68"/>
      <c r="O204" s="67">
        <v>20</v>
      </c>
      <c r="P204" s="67"/>
      <c r="Q204" s="69"/>
    </row>
    <row r="205" spans="2:17" x14ac:dyDescent="0.3">
      <c r="B205" s="66" t="s">
        <v>139</v>
      </c>
      <c r="C205" s="66" t="s">
        <v>116</v>
      </c>
      <c r="D205" s="63">
        <v>110000</v>
      </c>
      <c r="E205" s="68">
        <v>24</v>
      </c>
      <c r="F205" s="65">
        <v>12</v>
      </c>
      <c r="G205" s="70">
        <v>198000</v>
      </c>
      <c r="H205" s="67"/>
      <c r="I205" s="67"/>
      <c r="J205" s="67">
        <v>1000</v>
      </c>
      <c r="K205" s="65">
        <v>1100</v>
      </c>
      <c r="L205" s="67">
        <v>200</v>
      </c>
      <c r="M205" s="68">
        <v>24</v>
      </c>
      <c r="N205" s="68"/>
      <c r="O205" s="67">
        <v>20</v>
      </c>
      <c r="P205" s="67"/>
      <c r="Q205" s="69"/>
    </row>
    <row r="206" spans="2:17" x14ac:dyDescent="0.3">
      <c r="B206" s="66" t="s">
        <v>169</v>
      </c>
      <c r="C206" s="66" t="s">
        <v>116</v>
      </c>
      <c r="D206" s="63">
        <v>8000</v>
      </c>
      <c r="E206" s="68">
        <v>3</v>
      </c>
      <c r="F206" s="65">
        <v>2</v>
      </c>
      <c r="G206" s="70">
        <v>14400</v>
      </c>
      <c r="H206" s="67"/>
      <c r="I206" s="67"/>
      <c r="J206" s="67">
        <v>560</v>
      </c>
      <c r="K206" s="65">
        <v>600</v>
      </c>
      <c r="L206" s="67">
        <v>50</v>
      </c>
      <c r="M206" s="68">
        <v>3</v>
      </c>
      <c r="N206" s="68"/>
      <c r="O206" s="67">
        <v>20</v>
      </c>
      <c r="P206" s="67"/>
      <c r="Q206" s="69"/>
    </row>
    <row r="207" spans="2:17" x14ac:dyDescent="0.3">
      <c r="B207" s="66" t="s">
        <v>140</v>
      </c>
      <c r="C207" s="66" t="s">
        <v>116</v>
      </c>
      <c r="D207" s="63">
        <v>10000</v>
      </c>
      <c r="E207" s="68">
        <v>3</v>
      </c>
      <c r="F207" s="65">
        <v>3</v>
      </c>
      <c r="G207" s="70">
        <v>18000</v>
      </c>
      <c r="H207" s="67"/>
      <c r="I207" s="67"/>
      <c r="J207" s="67">
        <v>560</v>
      </c>
      <c r="K207" s="65">
        <v>600</v>
      </c>
      <c r="L207" s="67">
        <v>50</v>
      </c>
      <c r="M207" s="68">
        <v>3</v>
      </c>
      <c r="N207" s="68"/>
      <c r="O207" s="67">
        <v>20</v>
      </c>
      <c r="P207" s="67"/>
      <c r="Q207" s="69"/>
    </row>
    <row r="208" spans="2:17" x14ac:dyDescent="0.3">
      <c r="B208" s="66" t="s">
        <v>170</v>
      </c>
      <c r="C208" s="66" t="s">
        <v>116</v>
      </c>
      <c r="D208" s="63">
        <v>3000</v>
      </c>
      <c r="E208" s="68">
        <v>1</v>
      </c>
      <c r="F208" s="65">
        <v>1</v>
      </c>
      <c r="G208" s="70">
        <v>5400</v>
      </c>
      <c r="H208" s="67"/>
      <c r="I208" s="67"/>
      <c r="J208" s="67">
        <v>560</v>
      </c>
      <c r="K208" s="65">
        <v>600</v>
      </c>
      <c r="L208" s="67">
        <v>50</v>
      </c>
      <c r="M208" s="68">
        <v>1</v>
      </c>
      <c r="N208" s="68"/>
      <c r="O208" s="67">
        <v>20</v>
      </c>
      <c r="P208" s="67"/>
      <c r="Q208" s="69"/>
    </row>
    <row r="209" spans="2:17" x14ac:dyDescent="0.3">
      <c r="B209" s="66" t="s">
        <v>141</v>
      </c>
      <c r="C209" s="66" t="s">
        <v>116</v>
      </c>
      <c r="D209" s="63">
        <v>5000</v>
      </c>
      <c r="E209" s="68">
        <v>2</v>
      </c>
      <c r="F209" s="65">
        <v>2</v>
      </c>
      <c r="G209" s="70">
        <v>9000</v>
      </c>
      <c r="H209" s="67"/>
      <c r="I209" s="67"/>
      <c r="J209" s="67">
        <v>560</v>
      </c>
      <c r="K209" s="65">
        <v>600</v>
      </c>
      <c r="L209" s="67">
        <v>50</v>
      </c>
      <c r="M209" s="68">
        <v>2</v>
      </c>
      <c r="N209" s="68"/>
      <c r="O209" s="67">
        <v>20</v>
      </c>
      <c r="P209" s="67"/>
      <c r="Q209" s="69"/>
    </row>
    <row r="210" spans="2:17" x14ac:dyDescent="0.3">
      <c r="B210" s="66" t="s">
        <v>171</v>
      </c>
      <c r="C210" s="66" t="s">
        <v>116</v>
      </c>
      <c r="D210" s="63">
        <v>6000</v>
      </c>
      <c r="E210" s="68">
        <v>2</v>
      </c>
      <c r="F210" s="65">
        <v>2</v>
      </c>
      <c r="G210" s="70">
        <v>10800</v>
      </c>
      <c r="H210" s="67"/>
      <c r="I210" s="67"/>
      <c r="J210" s="67">
        <v>560</v>
      </c>
      <c r="K210" s="65">
        <v>600</v>
      </c>
      <c r="L210" s="67">
        <v>50</v>
      </c>
      <c r="M210" s="68">
        <v>2</v>
      </c>
      <c r="N210" s="68"/>
      <c r="O210" s="67">
        <v>20</v>
      </c>
      <c r="P210" s="67"/>
      <c r="Q210" s="69"/>
    </row>
    <row r="211" spans="2:17" x14ac:dyDescent="0.3">
      <c r="B211" s="66" t="s">
        <v>142</v>
      </c>
      <c r="C211" s="66" t="s">
        <v>116</v>
      </c>
      <c r="D211" s="63">
        <v>9000</v>
      </c>
      <c r="E211" s="68">
        <v>3</v>
      </c>
      <c r="F211" s="65">
        <v>3</v>
      </c>
      <c r="G211" s="70">
        <v>16200</v>
      </c>
      <c r="H211" s="67"/>
      <c r="I211" s="67"/>
      <c r="J211" s="67">
        <v>560</v>
      </c>
      <c r="K211" s="65">
        <v>600</v>
      </c>
      <c r="L211" s="67">
        <v>50</v>
      </c>
      <c r="M211" s="68">
        <v>3</v>
      </c>
      <c r="N211" s="68"/>
      <c r="O211" s="67">
        <v>20</v>
      </c>
      <c r="P211" s="67"/>
      <c r="Q211" s="69"/>
    </row>
    <row r="212" spans="2:17" x14ac:dyDescent="0.3">
      <c r="B212" s="66" t="s">
        <v>143</v>
      </c>
      <c r="C212" s="66" t="s">
        <v>116</v>
      </c>
      <c r="D212" s="63">
        <v>4000</v>
      </c>
      <c r="E212" s="68">
        <v>2</v>
      </c>
      <c r="F212" s="65">
        <v>2</v>
      </c>
      <c r="G212" s="70">
        <v>7200</v>
      </c>
      <c r="H212" s="67"/>
      <c r="I212" s="67"/>
      <c r="J212" s="67">
        <v>560</v>
      </c>
      <c r="K212" s="65">
        <v>600</v>
      </c>
      <c r="L212" s="67">
        <v>50</v>
      </c>
      <c r="M212" s="68">
        <v>2</v>
      </c>
      <c r="N212" s="68"/>
      <c r="O212" s="67">
        <v>20</v>
      </c>
      <c r="P212" s="67"/>
      <c r="Q212" s="69"/>
    </row>
    <row r="213" spans="2:17" x14ac:dyDescent="0.3">
      <c r="B213" s="66" t="s">
        <v>172</v>
      </c>
      <c r="C213" s="66" t="s">
        <v>116</v>
      </c>
      <c r="D213" s="63">
        <v>36000</v>
      </c>
      <c r="E213" s="68">
        <v>8</v>
      </c>
      <c r="F213" s="65">
        <v>4</v>
      </c>
      <c r="G213" s="70">
        <v>64800</v>
      </c>
      <c r="H213" s="67"/>
      <c r="I213" s="67"/>
      <c r="J213" s="67">
        <v>1000</v>
      </c>
      <c r="K213" s="65">
        <v>1100</v>
      </c>
      <c r="L213" s="67">
        <v>200</v>
      </c>
      <c r="M213" s="68">
        <v>8</v>
      </c>
      <c r="N213" s="68"/>
      <c r="O213" s="67">
        <v>20</v>
      </c>
      <c r="P213" s="67"/>
      <c r="Q213" s="69"/>
    </row>
    <row r="214" spans="2:17" x14ac:dyDescent="0.3">
      <c r="B214" s="66" t="s">
        <v>408</v>
      </c>
      <c r="C214" s="66" t="s">
        <v>116</v>
      </c>
      <c r="D214" s="63">
        <v>20000</v>
      </c>
      <c r="E214" s="68">
        <v>4</v>
      </c>
      <c r="F214" s="65">
        <v>2</v>
      </c>
      <c r="G214" s="70">
        <v>36000</v>
      </c>
      <c r="H214" s="67"/>
      <c r="I214" s="67"/>
      <c r="J214" s="67">
        <v>1000</v>
      </c>
      <c r="K214" s="65">
        <v>1100</v>
      </c>
      <c r="L214" s="67">
        <v>180</v>
      </c>
      <c r="M214" s="68">
        <v>4</v>
      </c>
      <c r="N214" s="68"/>
      <c r="O214" s="67">
        <v>20</v>
      </c>
      <c r="P214" s="67"/>
      <c r="Q214" s="69"/>
    </row>
    <row r="215" spans="2:17" x14ac:dyDescent="0.3">
      <c r="B215" s="66" t="s">
        <v>409</v>
      </c>
      <c r="C215" s="66" t="s">
        <v>116</v>
      </c>
      <c r="D215" s="63">
        <v>15000</v>
      </c>
      <c r="E215" s="68">
        <v>4</v>
      </c>
      <c r="F215" s="65">
        <v>2</v>
      </c>
      <c r="G215" s="70">
        <v>27000</v>
      </c>
      <c r="H215" s="67"/>
      <c r="I215" s="67"/>
      <c r="J215" s="67">
        <v>1000</v>
      </c>
      <c r="K215" s="65">
        <v>1100</v>
      </c>
      <c r="L215" s="67">
        <v>180</v>
      </c>
      <c r="M215" s="68">
        <v>4</v>
      </c>
      <c r="N215" s="68"/>
      <c r="O215" s="67">
        <v>20</v>
      </c>
      <c r="P215" s="67"/>
      <c r="Q215" s="69"/>
    </row>
    <row r="216" spans="2:17" x14ac:dyDescent="0.3">
      <c r="B216" s="66" t="s">
        <v>410</v>
      </c>
      <c r="C216" s="66" t="s">
        <v>116</v>
      </c>
      <c r="D216" s="63">
        <v>12000</v>
      </c>
      <c r="E216" s="68">
        <v>3</v>
      </c>
      <c r="F216" s="65">
        <v>2</v>
      </c>
      <c r="G216" s="70">
        <v>21600</v>
      </c>
      <c r="H216" s="67"/>
      <c r="I216" s="67"/>
      <c r="J216" s="67">
        <v>1000</v>
      </c>
      <c r="K216" s="65">
        <v>1100</v>
      </c>
      <c r="L216" s="67">
        <v>180</v>
      </c>
      <c r="M216" s="68">
        <v>3</v>
      </c>
      <c r="N216" s="68"/>
      <c r="O216" s="67">
        <v>20</v>
      </c>
      <c r="P216" s="67"/>
      <c r="Q216" s="69"/>
    </row>
    <row r="217" spans="2:17" x14ac:dyDescent="0.3">
      <c r="B217" s="66" t="s">
        <v>144</v>
      </c>
      <c r="C217" s="66" t="s">
        <v>116</v>
      </c>
      <c r="D217" s="63">
        <v>75000</v>
      </c>
      <c r="E217" s="68">
        <v>21</v>
      </c>
      <c r="F217" s="65">
        <v>7</v>
      </c>
      <c r="G217" s="70">
        <v>135000</v>
      </c>
      <c r="H217" s="67"/>
      <c r="I217" s="67"/>
      <c r="J217" s="67">
        <v>800</v>
      </c>
      <c r="K217" s="65">
        <v>850</v>
      </c>
      <c r="L217" s="67">
        <v>200</v>
      </c>
      <c r="M217" s="68">
        <v>21</v>
      </c>
      <c r="N217" s="68"/>
      <c r="O217" s="67">
        <v>22</v>
      </c>
      <c r="P217" s="67"/>
      <c r="Q217" s="69"/>
    </row>
    <row r="218" spans="2:17" x14ac:dyDescent="0.3">
      <c r="B218" s="66" t="s">
        <v>146</v>
      </c>
      <c r="C218" s="66" t="s">
        <v>116</v>
      </c>
      <c r="D218" s="63">
        <v>250000</v>
      </c>
      <c r="E218" s="68">
        <v>24</v>
      </c>
      <c r="F218" s="65">
        <v>6</v>
      </c>
      <c r="G218" s="70">
        <v>375000</v>
      </c>
      <c r="H218" s="67"/>
      <c r="I218" s="67"/>
      <c r="J218" s="67">
        <v>1380</v>
      </c>
      <c r="K218" s="65">
        <v>1500</v>
      </c>
      <c r="L218" s="67">
        <v>550</v>
      </c>
      <c r="M218" s="68">
        <v>24</v>
      </c>
      <c r="N218" s="68"/>
      <c r="O218" s="67">
        <v>25</v>
      </c>
      <c r="P218" s="67"/>
      <c r="Q218" s="69"/>
    </row>
    <row r="219" spans="2:17" x14ac:dyDescent="0.3">
      <c r="B219" s="66" t="s">
        <v>148</v>
      </c>
      <c r="C219" s="66" t="s">
        <v>116</v>
      </c>
      <c r="D219" s="63">
        <v>7500</v>
      </c>
      <c r="E219" s="68">
        <v>3</v>
      </c>
      <c r="F219" s="65">
        <v>2</v>
      </c>
      <c r="G219" s="70">
        <v>13500</v>
      </c>
      <c r="H219" s="67"/>
      <c r="I219" s="67"/>
      <c r="J219" s="67">
        <v>560</v>
      </c>
      <c r="K219" s="65">
        <v>600</v>
      </c>
      <c r="L219" s="67">
        <v>50</v>
      </c>
      <c r="M219" s="68">
        <v>3</v>
      </c>
      <c r="N219" s="68"/>
      <c r="O219" s="67">
        <v>20</v>
      </c>
      <c r="P219" s="67"/>
      <c r="Q219" s="69"/>
    </row>
    <row r="220" spans="2:17" x14ac:dyDescent="0.3">
      <c r="B220" s="62" t="s">
        <v>258</v>
      </c>
      <c r="C220" s="62" t="s">
        <v>96</v>
      </c>
      <c r="D220" s="71">
        <v>250000</v>
      </c>
      <c r="E220" s="72">
        <v>16</v>
      </c>
      <c r="F220" s="71">
        <v>8</v>
      </c>
      <c r="G220" s="73">
        <v>125000</v>
      </c>
      <c r="H220" s="74"/>
      <c r="I220" s="74"/>
      <c r="J220" s="72">
        <v>1000</v>
      </c>
      <c r="K220" s="71">
        <v>950</v>
      </c>
      <c r="L220" s="72">
        <v>180</v>
      </c>
      <c r="M220" s="72">
        <v>20</v>
      </c>
      <c r="N220" s="75"/>
      <c r="O220" s="72">
        <v>25</v>
      </c>
      <c r="P220" s="74"/>
      <c r="Q220" s="74" t="s">
        <v>168</v>
      </c>
    </row>
    <row r="221" spans="2:17" x14ac:dyDescent="0.3">
      <c r="Q221" s="16"/>
    </row>
    <row r="222" spans="2:17" x14ac:dyDescent="0.3">
      <c r="Q222" s="16"/>
    </row>
    <row r="223" spans="2:17" x14ac:dyDescent="0.3">
      <c r="Q223" s="16"/>
    </row>
    <row r="224" spans="2:17" x14ac:dyDescent="0.3">
      <c r="Q224" s="16"/>
    </row>
    <row r="225" spans="17:17" x14ac:dyDescent="0.3">
      <c r="Q225" s="16"/>
    </row>
    <row r="226" spans="17:17" x14ac:dyDescent="0.3">
      <c r="Q226" s="16"/>
    </row>
    <row r="227" spans="17:17" x14ac:dyDescent="0.3">
      <c r="Q227" s="16"/>
    </row>
    <row r="228" spans="17:17" x14ac:dyDescent="0.3">
      <c r="Q228" s="16"/>
    </row>
    <row r="229" spans="17:17" x14ac:dyDescent="0.3">
      <c r="Q229" s="16"/>
    </row>
    <row r="230" spans="17:17" x14ac:dyDescent="0.3">
      <c r="Q230" s="16"/>
    </row>
    <row r="231" spans="17:17" x14ac:dyDescent="0.3">
      <c r="Q231" s="16"/>
    </row>
    <row r="232" spans="17:17" x14ac:dyDescent="0.3">
      <c r="Q232" s="16"/>
    </row>
    <row r="233" spans="17:17" x14ac:dyDescent="0.3">
      <c r="Q233" s="16"/>
    </row>
    <row r="234" spans="17:17" x14ac:dyDescent="0.3">
      <c r="Q234" s="16"/>
    </row>
    <row r="235" spans="17:17" x14ac:dyDescent="0.3">
      <c r="Q235" s="16"/>
    </row>
    <row r="236" spans="17:17" x14ac:dyDescent="0.3">
      <c r="Q236" s="16"/>
    </row>
    <row r="237" spans="17:17" x14ac:dyDescent="0.3">
      <c r="Q237" s="16"/>
    </row>
    <row r="238" spans="17:17" x14ac:dyDescent="0.3">
      <c r="Q238" s="16"/>
    </row>
    <row r="239" spans="17:17" x14ac:dyDescent="0.3">
      <c r="Q239" s="16"/>
    </row>
    <row r="240" spans="17:17" x14ac:dyDescent="0.3">
      <c r="Q240" s="16"/>
    </row>
    <row r="241" spans="17:17" x14ac:dyDescent="0.3">
      <c r="Q241" s="16"/>
    </row>
    <row r="242" spans="17:17" x14ac:dyDescent="0.3">
      <c r="Q242" s="16"/>
    </row>
    <row r="243" spans="17:17" x14ac:dyDescent="0.3">
      <c r="Q243" s="16"/>
    </row>
    <row r="244" spans="17:17" x14ac:dyDescent="0.3">
      <c r="Q244" s="16"/>
    </row>
    <row r="245" spans="17:17" x14ac:dyDescent="0.3">
      <c r="Q245" s="16"/>
    </row>
    <row r="276" spans="2:14" x14ac:dyDescent="0.3">
      <c r="B276" s="3" t="s">
        <v>80</v>
      </c>
      <c r="C276" s="3"/>
    </row>
    <row r="279" spans="2:14" x14ac:dyDescent="0.3">
      <c r="C279" s="3"/>
      <c r="E279" s="3"/>
      <c r="M279" s="3"/>
      <c r="N279" s="3"/>
    </row>
    <row r="280" spans="2:14" x14ac:dyDescent="0.3">
      <c r="C280" s="3"/>
      <c r="E280" s="3"/>
      <c r="M280" s="3"/>
      <c r="N280" s="3"/>
    </row>
    <row r="281" spans="2:14" x14ac:dyDescent="0.3">
      <c r="C281" s="3"/>
      <c r="E281" s="3"/>
      <c r="M281" s="3"/>
      <c r="N281" s="3"/>
    </row>
    <row r="282" spans="2:14" x14ac:dyDescent="0.3">
      <c r="C282" s="3"/>
      <c r="E282" s="3"/>
      <c r="M282" s="3"/>
      <c r="N282" s="3"/>
    </row>
    <row r="283" spans="2:14" x14ac:dyDescent="0.3">
      <c r="C283" s="3"/>
      <c r="E283" s="3"/>
      <c r="M283" s="3"/>
      <c r="N283" s="3"/>
    </row>
    <row r="284" spans="2:14" x14ac:dyDescent="0.3">
      <c r="C284" s="3"/>
      <c r="E284" s="3"/>
      <c r="M284" s="3"/>
      <c r="N284" s="3"/>
    </row>
    <row r="285" spans="2:14" x14ac:dyDescent="0.3">
      <c r="C285" s="3"/>
      <c r="E285" s="3"/>
      <c r="M285" s="3"/>
      <c r="N285" s="3"/>
    </row>
    <row r="286" spans="2:14" x14ac:dyDescent="0.3">
      <c r="C286" s="3"/>
      <c r="E286" s="3"/>
      <c r="M286" s="3"/>
      <c r="N286" s="3"/>
    </row>
    <row r="287" spans="2:14" x14ac:dyDescent="0.3">
      <c r="C287" s="3"/>
      <c r="E287" s="3"/>
      <c r="M287" s="3"/>
      <c r="N287" s="3"/>
    </row>
    <row r="288" spans="2:14" x14ac:dyDescent="0.3">
      <c r="C288" s="3"/>
      <c r="E288" s="3"/>
      <c r="M288" s="3"/>
      <c r="N288" s="3"/>
    </row>
    <row r="289" s="3" customFormat="1" x14ac:dyDescent="0.3"/>
    <row r="290" s="3" customFormat="1" x14ac:dyDescent="0.3"/>
    <row r="291" s="3" customFormat="1" x14ac:dyDescent="0.3"/>
    <row r="292" s="3" customFormat="1" x14ac:dyDescent="0.3"/>
    <row r="293" s="3" customFormat="1" x14ac:dyDescent="0.3"/>
    <row r="294" s="3" customFormat="1" x14ac:dyDescent="0.3"/>
    <row r="295" s="3" customFormat="1" x14ac:dyDescent="0.3"/>
    <row r="296" s="3" customFormat="1" x14ac:dyDescent="0.3"/>
    <row r="297" s="3" customFormat="1" x14ac:dyDescent="0.3"/>
    <row r="298" s="3" customFormat="1" x14ac:dyDescent="0.3"/>
    <row r="299" s="3" customFormat="1" x14ac:dyDescent="0.3"/>
    <row r="300" s="3" customFormat="1" x14ac:dyDescent="0.3"/>
    <row r="301" s="3" customFormat="1" x14ac:dyDescent="0.3"/>
    <row r="302" s="3" customFormat="1" x14ac:dyDescent="0.3"/>
    <row r="303" s="3" customFormat="1" x14ac:dyDescent="0.3"/>
    <row r="304" s="3" customFormat="1" x14ac:dyDescent="0.3"/>
    <row r="305" s="3" customFormat="1" x14ac:dyDescent="0.3"/>
    <row r="306" s="3" customFormat="1" x14ac:dyDescent="0.3"/>
    <row r="307" s="3" customFormat="1" x14ac:dyDescent="0.3"/>
    <row r="308" s="3" customFormat="1" x14ac:dyDescent="0.3"/>
    <row r="309" s="3" customFormat="1" x14ac:dyDescent="0.3"/>
    <row r="310" s="3" customFormat="1" x14ac:dyDescent="0.3"/>
    <row r="311" s="3" customFormat="1" x14ac:dyDescent="0.3"/>
    <row r="312" s="3" customFormat="1" x14ac:dyDescent="0.3"/>
    <row r="313" s="3" customFormat="1" x14ac:dyDescent="0.3"/>
    <row r="314" s="3" customFormat="1" x14ac:dyDescent="0.3"/>
    <row r="315" s="3" customFormat="1" x14ac:dyDescent="0.3"/>
    <row r="316" s="3" customFormat="1" x14ac:dyDescent="0.3"/>
    <row r="317" s="3" customFormat="1" x14ac:dyDescent="0.3"/>
    <row r="318" s="3" customFormat="1" x14ac:dyDescent="0.3"/>
    <row r="319" s="3" customFormat="1" x14ac:dyDescent="0.3"/>
    <row r="320" s="3" customFormat="1" x14ac:dyDescent="0.3"/>
    <row r="321" spans="3:14" x14ac:dyDescent="0.3">
      <c r="C321" s="3"/>
      <c r="E321" s="3"/>
      <c r="M321" s="3"/>
      <c r="N321" s="3"/>
    </row>
    <row r="322" spans="3:14" x14ac:dyDescent="0.3">
      <c r="C322" s="3"/>
      <c r="E322" s="3"/>
      <c r="M322" s="3"/>
      <c r="N322" s="3"/>
    </row>
    <row r="323" spans="3:14" x14ac:dyDescent="0.3">
      <c r="C323" s="3"/>
      <c r="E323" s="3"/>
      <c r="M323" s="3"/>
      <c r="N323" s="3"/>
    </row>
    <row r="324" spans="3:14" x14ac:dyDescent="0.3">
      <c r="C324" s="3"/>
      <c r="E324" s="3"/>
      <c r="M324" s="3"/>
      <c r="N324" s="3"/>
    </row>
    <row r="325" spans="3:14" x14ac:dyDescent="0.3">
      <c r="C325" s="3"/>
      <c r="E325" s="3"/>
      <c r="M325" s="3"/>
      <c r="N325" s="3"/>
    </row>
    <row r="326" spans="3:14" x14ac:dyDescent="0.3">
      <c r="C326" s="3"/>
      <c r="E326" s="3"/>
      <c r="M326" s="3"/>
      <c r="N326" s="3"/>
    </row>
    <row r="327" spans="3:14" x14ac:dyDescent="0.3">
      <c r="C327" s="3"/>
      <c r="E327" s="3"/>
      <c r="M327" s="3"/>
      <c r="N327" s="3"/>
    </row>
    <row r="328" spans="3:14" x14ac:dyDescent="0.3">
      <c r="C328" s="3"/>
      <c r="E328" s="3"/>
      <c r="M328" s="3"/>
      <c r="N328" s="3"/>
    </row>
    <row r="329" spans="3:14" x14ac:dyDescent="0.3">
      <c r="C329" s="3"/>
      <c r="E329" s="3"/>
      <c r="M329" s="3"/>
      <c r="N329" s="3"/>
    </row>
    <row r="330" spans="3:14" x14ac:dyDescent="0.3">
      <c r="F330" s="11"/>
      <c r="N330" s="12"/>
    </row>
  </sheetData>
  <mergeCells count="1">
    <mergeCell ref="B2:Q2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1724-24A8-478A-AB6F-E2970616DA98}">
  <dimension ref="A1"/>
  <sheetViews>
    <sheetView workbookViewId="0">
      <selection sqref="A1:P1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0"/>
  <sheetViews>
    <sheetView workbookViewId="0">
      <selection activeCell="K2" sqref="K2:K120"/>
    </sheetView>
  </sheetViews>
  <sheetFormatPr defaultRowHeight="14.4" x14ac:dyDescent="0.3"/>
  <cols>
    <col min="1" max="1" width="25.5546875" bestFit="1" customWidth="1"/>
  </cols>
  <sheetData>
    <row r="1" spans="1:14" ht="75" customHeight="1" x14ac:dyDescent="0.3">
      <c r="A1" s="19" t="s">
        <v>0</v>
      </c>
      <c r="B1" s="19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</row>
    <row r="2" spans="1:14" x14ac:dyDescent="0.3">
      <c r="A2" s="47" t="s">
        <v>266</v>
      </c>
      <c r="B2" s="47" t="s">
        <v>14</v>
      </c>
      <c r="C2" s="47">
        <v>600</v>
      </c>
      <c r="D2" s="47" t="s">
        <v>15</v>
      </c>
      <c r="E2" s="53">
        <v>48.44</v>
      </c>
      <c r="F2" s="53">
        <v>41.05</v>
      </c>
      <c r="G2" s="53">
        <v>14.62</v>
      </c>
      <c r="H2" s="53">
        <v>15.78</v>
      </c>
      <c r="I2" s="58">
        <v>0.222</v>
      </c>
      <c r="J2" s="47">
        <v>4.2999999999999997E-2</v>
      </c>
      <c r="K2" s="47">
        <v>-0.25</v>
      </c>
      <c r="L2" s="21">
        <v>-0.28999999999999998</v>
      </c>
      <c r="M2" s="21">
        <v>31.65</v>
      </c>
      <c r="N2" s="51" t="s">
        <v>16</v>
      </c>
    </row>
    <row r="3" spans="1:14" x14ac:dyDescent="0.3">
      <c r="A3" s="47" t="s">
        <v>267</v>
      </c>
      <c r="B3" s="47" t="s">
        <v>14</v>
      </c>
      <c r="C3" s="47">
        <v>580</v>
      </c>
      <c r="D3" s="47" t="s">
        <v>15</v>
      </c>
      <c r="E3" s="53">
        <v>51.3</v>
      </c>
      <c r="F3" s="53">
        <v>43.11</v>
      </c>
      <c r="G3" s="53">
        <v>13.45</v>
      </c>
      <c r="H3" s="53">
        <v>14.28</v>
      </c>
      <c r="I3" s="58">
        <v>0.22500000000000001</v>
      </c>
      <c r="J3" s="47">
        <v>4.2999999999999997E-2</v>
      </c>
      <c r="K3" s="47">
        <v>-0.25</v>
      </c>
      <c r="L3" s="29"/>
      <c r="M3" s="29"/>
      <c r="N3" s="51" t="s">
        <v>16</v>
      </c>
    </row>
    <row r="4" spans="1:14" x14ac:dyDescent="0.3">
      <c r="A4" s="48" t="s">
        <v>268</v>
      </c>
      <c r="B4" s="48" t="s">
        <v>18</v>
      </c>
      <c r="C4" s="48">
        <v>335</v>
      </c>
      <c r="D4" s="48" t="s">
        <v>36</v>
      </c>
      <c r="E4" s="54">
        <v>45.44</v>
      </c>
      <c r="F4" s="54">
        <v>38.1</v>
      </c>
      <c r="G4" s="54">
        <v>8.7899999999999991</v>
      </c>
      <c r="H4" s="54">
        <v>9.25</v>
      </c>
      <c r="I4" s="59">
        <v>0.16950000000000001</v>
      </c>
      <c r="J4" s="48">
        <v>0.05</v>
      </c>
      <c r="K4" s="48">
        <v>-0.17100000000000001</v>
      </c>
      <c r="L4" s="21">
        <f>-0.43</f>
        <v>-0.43</v>
      </c>
      <c r="M4" s="21">
        <v>22.2</v>
      </c>
      <c r="N4" s="48" t="s">
        <v>19</v>
      </c>
    </row>
    <row r="5" spans="1:14" x14ac:dyDescent="0.3">
      <c r="A5" s="48" t="s">
        <v>269</v>
      </c>
      <c r="B5" s="48" t="s">
        <v>18</v>
      </c>
      <c r="C5" s="48">
        <v>335</v>
      </c>
      <c r="D5" s="48" t="s">
        <v>36</v>
      </c>
      <c r="E5" s="54">
        <v>47.28</v>
      </c>
      <c r="F5" s="54">
        <v>37.35</v>
      </c>
      <c r="G5" s="54">
        <v>9.06</v>
      </c>
      <c r="H5" s="54">
        <v>9.4700000000000006</v>
      </c>
      <c r="I5" s="59">
        <v>0.17199999999999999</v>
      </c>
      <c r="J5" s="48">
        <v>7.0000000000000007E-2</v>
      </c>
      <c r="K5" s="48">
        <v>-0.31</v>
      </c>
      <c r="L5" s="5">
        <v>-0.39</v>
      </c>
      <c r="M5" s="5">
        <v>22.1</v>
      </c>
      <c r="N5" s="48" t="s">
        <v>19</v>
      </c>
    </row>
    <row r="6" spans="1:14" x14ac:dyDescent="0.3">
      <c r="A6" s="48" t="s">
        <v>270</v>
      </c>
      <c r="B6" s="48" t="s">
        <v>18</v>
      </c>
      <c r="C6" s="48">
        <v>575</v>
      </c>
      <c r="D6" s="48" t="s">
        <v>15</v>
      </c>
      <c r="E6" s="54">
        <v>52.26</v>
      </c>
      <c r="F6" s="54">
        <v>43.85</v>
      </c>
      <c r="G6" s="54">
        <v>13.17</v>
      </c>
      <c r="H6" s="54">
        <v>13.82</v>
      </c>
      <c r="I6" s="59">
        <v>0.2225</v>
      </c>
      <c r="J6" s="48">
        <v>4.4999999999999998E-2</v>
      </c>
      <c r="K6" s="48">
        <v>-0.25</v>
      </c>
      <c r="L6" s="21">
        <v>-0.32</v>
      </c>
      <c r="M6" s="21">
        <v>29.3</v>
      </c>
      <c r="N6" s="48" t="s">
        <v>19</v>
      </c>
    </row>
    <row r="7" spans="1:14" x14ac:dyDescent="0.3">
      <c r="A7" s="48" t="s">
        <v>271</v>
      </c>
      <c r="B7" s="48" t="s">
        <v>18</v>
      </c>
      <c r="C7" s="48">
        <v>600</v>
      </c>
      <c r="D7" s="48" t="s">
        <v>15</v>
      </c>
      <c r="E7" s="54">
        <v>48.29</v>
      </c>
      <c r="F7" s="54">
        <v>41</v>
      </c>
      <c r="G7" s="54">
        <v>14.79</v>
      </c>
      <c r="H7" s="54">
        <v>15.6</v>
      </c>
      <c r="I7" s="59">
        <v>0.222</v>
      </c>
      <c r="J7" s="48">
        <v>4.4999999999999998E-2</v>
      </c>
      <c r="K7" s="48">
        <v>-0.25</v>
      </c>
      <c r="L7" s="5">
        <v>-0.28999999999999998</v>
      </c>
      <c r="M7" s="5">
        <v>29</v>
      </c>
      <c r="N7" s="52" t="s">
        <v>16</v>
      </c>
    </row>
    <row r="8" spans="1:14" x14ac:dyDescent="0.3">
      <c r="A8" s="48" t="s">
        <v>272</v>
      </c>
      <c r="B8" s="48" t="s">
        <v>18</v>
      </c>
      <c r="C8" s="48">
        <v>530</v>
      </c>
      <c r="D8" s="48"/>
      <c r="E8" s="54">
        <v>49.12</v>
      </c>
      <c r="F8" s="54">
        <v>41.61</v>
      </c>
      <c r="G8" s="54">
        <v>12.74</v>
      </c>
      <c r="H8" s="54">
        <v>13.45</v>
      </c>
      <c r="I8" s="59">
        <v>0.20519999999999999</v>
      </c>
      <c r="J8" s="48">
        <v>0.06</v>
      </c>
      <c r="K8" s="48">
        <v>-0.3</v>
      </c>
      <c r="L8" s="42"/>
      <c r="M8" s="42"/>
      <c r="N8" s="48" t="s">
        <v>19</v>
      </c>
    </row>
    <row r="9" spans="1:14" x14ac:dyDescent="0.3">
      <c r="A9" s="48" t="s">
        <v>20</v>
      </c>
      <c r="B9" s="48" t="s">
        <v>21</v>
      </c>
      <c r="C9" s="48">
        <v>415</v>
      </c>
      <c r="D9" s="48" t="s">
        <v>36</v>
      </c>
      <c r="E9" s="54">
        <v>47.8</v>
      </c>
      <c r="F9" s="54">
        <v>39.299999999999997</v>
      </c>
      <c r="G9" s="54">
        <v>10.56</v>
      </c>
      <c r="H9" s="54">
        <v>11.14</v>
      </c>
      <c r="I9" s="59">
        <v>0.18789999999999998</v>
      </c>
      <c r="J9" s="48">
        <v>0.05</v>
      </c>
      <c r="K9" s="48">
        <v>-0.28999999999999998</v>
      </c>
      <c r="L9" s="23">
        <v>-0.37</v>
      </c>
      <c r="M9" s="23">
        <v>24.9</v>
      </c>
      <c r="N9" s="48" t="s">
        <v>19</v>
      </c>
    </row>
    <row r="10" spans="1:14" x14ac:dyDescent="0.3">
      <c r="A10" s="48" t="s">
        <v>22</v>
      </c>
      <c r="B10" s="48" t="s">
        <v>21</v>
      </c>
      <c r="C10" s="48">
        <v>410</v>
      </c>
      <c r="D10" s="48" t="s">
        <v>36</v>
      </c>
      <c r="E10" s="54">
        <v>47.6</v>
      </c>
      <c r="F10" s="54">
        <v>39.1</v>
      </c>
      <c r="G10" s="54">
        <v>10.49</v>
      </c>
      <c r="H10" s="54">
        <v>11.06</v>
      </c>
      <c r="I10" s="59">
        <v>0.18559999999999999</v>
      </c>
      <c r="J10" s="48">
        <v>0.05</v>
      </c>
      <c r="K10" s="48">
        <v>-0.28999999999999998</v>
      </c>
      <c r="L10" s="6">
        <v>-0.37</v>
      </c>
      <c r="M10" s="6">
        <v>24.9</v>
      </c>
      <c r="N10" s="48" t="s">
        <v>19</v>
      </c>
    </row>
    <row r="11" spans="1:14" x14ac:dyDescent="0.3">
      <c r="A11" s="48" t="s">
        <v>23</v>
      </c>
      <c r="B11" s="48" t="s">
        <v>21</v>
      </c>
      <c r="C11" s="48">
        <v>450</v>
      </c>
      <c r="D11" s="48" t="s">
        <v>36</v>
      </c>
      <c r="E11" s="54">
        <v>49.1</v>
      </c>
      <c r="F11" s="54">
        <v>41.1</v>
      </c>
      <c r="G11" s="54">
        <v>10.96</v>
      </c>
      <c r="H11" s="54">
        <v>11.6</v>
      </c>
      <c r="I11" s="59">
        <v>0.20399999999999999</v>
      </c>
      <c r="J11" s="48">
        <v>0.05</v>
      </c>
      <c r="K11" s="48">
        <v>-0.27</v>
      </c>
      <c r="L11" s="23">
        <v>-0.35</v>
      </c>
      <c r="M11" s="23">
        <v>24.9</v>
      </c>
      <c r="N11" s="48" t="s">
        <v>19</v>
      </c>
    </row>
    <row r="12" spans="1:14" x14ac:dyDescent="0.3">
      <c r="A12" s="48" t="s">
        <v>24</v>
      </c>
      <c r="B12" s="48" t="s">
        <v>21</v>
      </c>
      <c r="C12" s="48">
        <v>455</v>
      </c>
      <c r="D12" s="48" t="s">
        <v>36</v>
      </c>
      <c r="E12" s="54">
        <v>49.3</v>
      </c>
      <c r="F12" s="54">
        <v>41.3</v>
      </c>
      <c r="G12" s="54">
        <v>11.02</v>
      </c>
      <c r="H12" s="54">
        <v>11.66</v>
      </c>
      <c r="I12" s="59">
        <v>0.20600000000000002</v>
      </c>
      <c r="J12" s="48">
        <v>0.05</v>
      </c>
      <c r="K12" s="48">
        <v>-0.27</v>
      </c>
      <c r="L12" s="6">
        <v>-0.35</v>
      </c>
      <c r="M12" s="6">
        <v>24.9</v>
      </c>
      <c r="N12" s="48" t="s">
        <v>19</v>
      </c>
    </row>
    <row r="13" spans="1:14" x14ac:dyDescent="0.3">
      <c r="A13" s="48" t="s">
        <v>25</v>
      </c>
      <c r="B13" s="48" t="s">
        <v>21</v>
      </c>
      <c r="C13" s="48">
        <v>535</v>
      </c>
      <c r="D13" s="48" t="s">
        <v>333</v>
      </c>
      <c r="E13" s="54">
        <v>49</v>
      </c>
      <c r="F13" s="54">
        <v>41.1</v>
      </c>
      <c r="G13" s="54">
        <v>13.02</v>
      </c>
      <c r="H13" s="54">
        <v>13.85</v>
      </c>
      <c r="I13" s="59">
        <v>0.20799999999999999</v>
      </c>
      <c r="J13" s="48">
        <v>0.05</v>
      </c>
      <c r="K13" s="48">
        <v>-0.26</v>
      </c>
      <c r="L13" s="23">
        <v>-0.34</v>
      </c>
      <c r="M13" s="23">
        <v>32.200000000000003</v>
      </c>
      <c r="N13" s="52" t="s">
        <v>16</v>
      </c>
    </row>
    <row r="14" spans="1:14" x14ac:dyDescent="0.3">
      <c r="A14" s="48" t="s">
        <v>24</v>
      </c>
      <c r="B14" s="48" t="s">
        <v>21</v>
      </c>
      <c r="C14" s="48">
        <v>455</v>
      </c>
      <c r="D14" s="48" t="s">
        <v>36</v>
      </c>
      <c r="E14" s="54">
        <v>49.3</v>
      </c>
      <c r="F14" s="54">
        <v>41.3</v>
      </c>
      <c r="G14" s="54">
        <v>11.02</v>
      </c>
      <c r="H14" s="54">
        <v>11.66</v>
      </c>
      <c r="I14" s="59">
        <v>0.20600000000000002</v>
      </c>
      <c r="J14" s="48">
        <v>0.05</v>
      </c>
      <c r="K14" s="48">
        <v>-0.27</v>
      </c>
      <c r="L14" s="6">
        <v>-0.34</v>
      </c>
      <c r="M14" s="6">
        <v>34.6</v>
      </c>
      <c r="N14" s="48" t="s">
        <v>19</v>
      </c>
    </row>
    <row r="15" spans="1:14" x14ac:dyDescent="0.3">
      <c r="A15" s="48" t="s">
        <v>26</v>
      </c>
      <c r="B15" s="48" t="s">
        <v>21</v>
      </c>
      <c r="C15" s="48">
        <v>580</v>
      </c>
      <c r="D15" s="48" t="s">
        <v>333</v>
      </c>
      <c r="E15" s="54">
        <v>40.5</v>
      </c>
      <c r="F15" s="54">
        <v>34.1</v>
      </c>
      <c r="G15" s="54">
        <v>17.02</v>
      </c>
      <c r="H15" s="54">
        <v>18.27</v>
      </c>
      <c r="I15" s="59">
        <v>0.20499999999999999</v>
      </c>
      <c r="J15" s="48">
        <v>0.05</v>
      </c>
      <c r="K15" s="48">
        <v>-0.26</v>
      </c>
      <c r="L15" s="23">
        <v>-0.34</v>
      </c>
      <c r="M15" s="23">
        <v>34.6</v>
      </c>
      <c r="N15" s="52" t="s">
        <v>16</v>
      </c>
    </row>
    <row r="16" spans="1:14" x14ac:dyDescent="0.3">
      <c r="A16" s="48" t="s">
        <v>27</v>
      </c>
      <c r="B16" s="48" t="s">
        <v>21</v>
      </c>
      <c r="C16" s="48">
        <v>585</v>
      </c>
      <c r="D16" s="48" t="s">
        <v>333</v>
      </c>
      <c r="E16" s="54">
        <v>40.700000000000003</v>
      </c>
      <c r="F16" s="54">
        <v>34.299999999999997</v>
      </c>
      <c r="G16" s="54">
        <v>17.059999999999999</v>
      </c>
      <c r="H16" s="54">
        <v>18.32</v>
      </c>
      <c r="I16" s="59">
        <v>0.20699999999999999</v>
      </c>
      <c r="J16" s="48">
        <v>0.05</v>
      </c>
      <c r="K16" s="48">
        <v>-0.26</v>
      </c>
      <c r="L16" s="6">
        <v>-0.28999999999999998</v>
      </c>
      <c r="M16" s="6">
        <v>32.799999999999997</v>
      </c>
      <c r="N16" s="52" t="s">
        <v>16</v>
      </c>
    </row>
    <row r="17" spans="1:14" x14ac:dyDescent="0.3">
      <c r="A17" s="48" t="s">
        <v>273</v>
      </c>
      <c r="B17" s="48" t="s">
        <v>21</v>
      </c>
      <c r="C17" s="48">
        <v>615</v>
      </c>
      <c r="D17" s="48" t="s">
        <v>15</v>
      </c>
      <c r="E17" s="54">
        <v>48.2</v>
      </c>
      <c r="F17" s="54">
        <v>41</v>
      </c>
      <c r="G17" s="54">
        <v>15.01</v>
      </c>
      <c r="H17" s="54">
        <v>16.02</v>
      </c>
      <c r="I17" s="59">
        <v>0.22800000000000001</v>
      </c>
      <c r="J17" s="48">
        <v>4.4999999999999998E-2</v>
      </c>
      <c r="K17" s="48">
        <v>-0.28999999999999998</v>
      </c>
      <c r="L17" s="23">
        <v>-0.28999999999999998</v>
      </c>
      <c r="M17" s="23">
        <v>32.799999999999997</v>
      </c>
      <c r="N17" s="52" t="s">
        <v>16</v>
      </c>
    </row>
    <row r="18" spans="1:14" x14ac:dyDescent="0.3">
      <c r="A18" s="48" t="s">
        <v>274</v>
      </c>
      <c r="B18" s="48" t="s">
        <v>21</v>
      </c>
      <c r="C18" s="48">
        <v>610</v>
      </c>
      <c r="D18" s="48" t="s">
        <v>15</v>
      </c>
      <c r="E18" s="54">
        <v>48</v>
      </c>
      <c r="F18" s="54">
        <v>40.799999999999997</v>
      </c>
      <c r="G18" s="54">
        <v>14.96</v>
      </c>
      <c r="H18" s="54">
        <v>15.97</v>
      </c>
      <c r="I18" s="59">
        <v>0.22600000000000001</v>
      </c>
      <c r="J18" s="48">
        <v>4.4999999999999998E-2</v>
      </c>
      <c r="K18" s="48">
        <v>-0.28999999999999998</v>
      </c>
      <c r="L18" s="30"/>
      <c r="M18" s="30"/>
      <c r="N18" s="52" t="s">
        <v>16</v>
      </c>
    </row>
    <row r="19" spans="1:14" x14ac:dyDescent="0.3">
      <c r="A19" s="48" t="s">
        <v>28</v>
      </c>
      <c r="B19" s="48" t="s">
        <v>259</v>
      </c>
      <c r="C19" s="48">
        <v>700</v>
      </c>
      <c r="D19" s="48" t="s">
        <v>15</v>
      </c>
      <c r="E19" s="54">
        <v>47.6</v>
      </c>
      <c r="F19" s="54">
        <v>40</v>
      </c>
      <c r="G19" s="54">
        <v>17.5</v>
      </c>
      <c r="H19" s="54">
        <v>18.489999999999998</v>
      </c>
      <c r="I19" s="60">
        <v>0.2253</v>
      </c>
      <c r="J19" s="48">
        <v>4.5999999999999999E-2</v>
      </c>
      <c r="K19" s="48">
        <v>-0.25</v>
      </c>
      <c r="L19" s="23">
        <v>-0.28999999999999998</v>
      </c>
      <c r="M19" s="23">
        <v>36.700000000000003</v>
      </c>
      <c r="N19" s="52" t="s">
        <v>16</v>
      </c>
    </row>
    <row r="20" spans="1:14" x14ac:dyDescent="0.3">
      <c r="A20" s="48" t="s">
        <v>28</v>
      </c>
      <c r="B20" s="48" t="s">
        <v>259</v>
      </c>
      <c r="C20" s="48">
        <v>700</v>
      </c>
      <c r="D20" s="48" t="s">
        <v>15</v>
      </c>
      <c r="E20" s="54">
        <v>47.6</v>
      </c>
      <c r="F20" s="54">
        <v>40</v>
      </c>
      <c r="G20" s="54">
        <v>17.5</v>
      </c>
      <c r="H20" s="54">
        <v>18.489999999999998</v>
      </c>
      <c r="I20" s="59">
        <v>0.2253</v>
      </c>
      <c r="J20" s="48">
        <v>4.5999999999999999E-2</v>
      </c>
      <c r="K20" s="48">
        <v>-0.25</v>
      </c>
      <c r="L20" s="30"/>
      <c r="M20" s="30"/>
      <c r="N20" s="52" t="s">
        <v>16</v>
      </c>
    </row>
    <row r="21" spans="1:14" x14ac:dyDescent="0.3">
      <c r="A21" s="48" t="s">
        <v>275</v>
      </c>
      <c r="B21" s="48" t="s">
        <v>260</v>
      </c>
      <c r="C21" s="48">
        <v>575</v>
      </c>
      <c r="D21" s="48" t="s">
        <v>15</v>
      </c>
      <c r="E21" s="54">
        <v>51.8</v>
      </c>
      <c r="F21" s="54">
        <v>42.5</v>
      </c>
      <c r="G21" s="54">
        <v>13.53</v>
      </c>
      <c r="H21" s="54">
        <v>14.3</v>
      </c>
      <c r="I21" s="59">
        <v>0.223</v>
      </c>
      <c r="J21" s="48">
        <v>4.4999999999999998E-2</v>
      </c>
      <c r="K21" s="48">
        <v>-0.25</v>
      </c>
      <c r="L21" s="23">
        <v>-0.3</v>
      </c>
      <c r="M21" s="23">
        <v>31.3</v>
      </c>
      <c r="N21" s="48" t="s">
        <v>16</v>
      </c>
    </row>
    <row r="22" spans="1:14" x14ac:dyDescent="0.3">
      <c r="A22" s="48" t="s">
        <v>276</v>
      </c>
      <c r="B22" s="48" t="s">
        <v>260</v>
      </c>
      <c r="C22" s="48">
        <v>605</v>
      </c>
      <c r="D22" s="48" t="s">
        <v>15</v>
      </c>
      <c r="E22" s="54">
        <v>47.84</v>
      </c>
      <c r="F22" s="54">
        <v>39.97</v>
      </c>
      <c r="G22" s="54">
        <v>15.14</v>
      </c>
      <c r="H22" s="54">
        <v>15.94</v>
      </c>
      <c r="I22" s="59">
        <v>0.22399999999999998</v>
      </c>
      <c r="J22" s="48">
        <v>4.4999999999999998E-2</v>
      </c>
      <c r="K22" s="48">
        <v>-0.25</v>
      </c>
      <c r="L22" s="6">
        <v>-0.28000000000000003</v>
      </c>
      <c r="M22" s="6">
        <v>31.9</v>
      </c>
      <c r="N22" s="48" t="s">
        <v>16</v>
      </c>
    </row>
    <row r="23" spans="1:14" x14ac:dyDescent="0.3">
      <c r="A23" s="48" t="s">
        <v>277</v>
      </c>
      <c r="B23" s="48" t="s">
        <v>260</v>
      </c>
      <c r="C23" s="48">
        <v>610</v>
      </c>
      <c r="D23" s="48" t="s">
        <v>15</v>
      </c>
      <c r="E23" s="54">
        <v>48.01</v>
      </c>
      <c r="F23" s="54">
        <v>40.14</v>
      </c>
      <c r="G23" s="54">
        <v>15.2</v>
      </c>
      <c r="H23" s="54">
        <v>16</v>
      </c>
      <c r="I23" s="59">
        <v>0.22600000000000001</v>
      </c>
      <c r="J23" s="48">
        <v>4.4999999999999998E-2</v>
      </c>
      <c r="K23" s="48">
        <v>-0.25</v>
      </c>
      <c r="L23" s="23">
        <v>-0.28000000000000003</v>
      </c>
      <c r="M23" s="23">
        <v>31.9</v>
      </c>
      <c r="N23" s="48" t="s">
        <v>16</v>
      </c>
    </row>
    <row r="24" spans="1:14" x14ac:dyDescent="0.3">
      <c r="A24" s="48" t="s">
        <v>29</v>
      </c>
      <c r="B24" s="48" t="s">
        <v>261</v>
      </c>
      <c r="C24" s="48">
        <v>585</v>
      </c>
      <c r="D24" s="48" t="s">
        <v>15</v>
      </c>
      <c r="E24" s="54">
        <v>52.7</v>
      </c>
      <c r="F24" s="54">
        <v>44.04</v>
      </c>
      <c r="G24" s="54">
        <v>13.3</v>
      </c>
      <c r="H24" s="54">
        <v>14.05</v>
      </c>
      <c r="I24" s="59">
        <v>0.22600000000000001</v>
      </c>
      <c r="J24" s="48">
        <v>4.8000000000000001E-2</v>
      </c>
      <c r="K24" s="48">
        <v>-0.25</v>
      </c>
      <c r="L24" s="30"/>
      <c r="M24" s="30"/>
      <c r="N24" s="48" t="s">
        <v>16</v>
      </c>
    </row>
    <row r="25" spans="1:14" x14ac:dyDescent="0.3">
      <c r="A25" s="48" t="s">
        <v>30</v>
      </c>
      <c r="B25" s="48" t="s">
        <v>261</v>
      </c>
      <c r="C25" s="48">
        <v>610</v>
      </c>
      <c r="D25" s="48" t="s">
        <v>15</v>
      </c>
      <c r="E25" s="54">
        <v>53.97</v>
      </c>
      <c r="F25" s="54">
        <v>45.49</v>
      </c>
      <c r="G25" s="54">
        <v>13.42</v>
      </c>
      <c r="H25" s="54">
        <v>14.32</v>
      </c>
      <c r="I25" s="59">
        <v>0.22600000000000001</v>
      </c>
      <c r="J25" s="48">
        <v>4.8000000000000001E-2</v>
      </c>
      <c r="K25" s="48">
        <v>-0.25</v>
      </c>
      <c r="L25" s="23">
        <v>-0.28999999999999998</v>
      </c>
      <c r="M25" s="23">
        <v>32</v>
      </c>
      <c r="N25" s="48" t="s">
        <v>16</v>
      </c>
    </row>
    <row r="26" spans="1:14" x14ac:dyDescent="0.3">
      <c r="A26" s="48" t="s">
        <v>31</v>
      </c>
      <c r="B26" s="48" t="s">
        <v>261</v>
      </c>
      <c r="C26" s="48">
        <v>600</v>
      </c>
      <c r="D26" s="48" t="s">
        <v>15</v>
      </c>
      <c r="E26" s="54">
        <v>53.61</v>
      </c>
      <c r="F26" s="54">
        <v>45.13</v>
      </c>
      <c r="G26" s="54">
        <v>13.3</v>
      </c>
      <c r="H26" s="54">
        <v>14.2</v>
      </c>
      <c r="I26" s="59">
        <v>0.222</v>
      </c>
      <c r="J26" s="48">
        <v>4.8000000000000001E-2</v>
      </c>
      <c r="K26" s="48">
        <v>-0.25</v>
      </c>
      <c r="L26" s="6">
        <v>-0.28999999999999998</v>
      </c>
      <c r="M26" s="6">
        <v>32.799999999999997</v>
      </c>
      <c r="N26" s="48" t="s">
        <v>16</v>
      </c>
    </row>
    <row r="27" spans="1:14" x14ac:dyDescent="0.3">
      <c r="A27" s="48" t="s">
        <v>278</v>
      </c>
      <c r="B27" s="48" t="s">
        <v>261</v>
      </c>
      <c r="C27" s="48">
        <v>605</v>
      </c>
      <c r="D27" s="48" t="s">
        <v>15</v>
      </c>
      <c r="E27" s="54">
        <v>53.79</v>
      </c>
      <c r="F27" s="54">
        <v>45.31</v>
      </c>
      <c r="G27" s="54">
        <v>13.36</v>
      </c>
      <c r="H27" s="54">
        <v>14.26</v>
      </c>
      <c r="I27" s="59">
        <v>0.22399999999999998</v>
      </c>
      <c r="J27" s="48">
        <v>4.8000000000000001E-2</v>
      </c>
      <c r="K27" s="48">
        <v>-0.25</v>
      </c>
      <c r="L27" s="23">
        <v>-0.28999999999999998</v>
      </c>
      <c r="M27" s="23">
        <v>32.799999999999997</v>
      </c>
      <c r="N27" s="48" t="s">
        <v>16</v>
      </c>
    </row>
    <row r="28" spans="1:14" x14ac:dyDescent="0.3">
      <c r="A28" s="48" t="s">
        <v>279</v>
      </c>
      <c r="B28" s="48" t="s">
        <v>261</v>
      </c>
      <c r="C28" s="48">
        <v>610</v>
      </c>
      <c r="D28" s="48" t="s">
        <v>15</v>
      </c>
      <c r="E28" s="54">
        <v>48.69</v>
      </c>
      <c r="F28" s="54">
        <v>40.450000000000003</v>
      </c>
      <c r="G28" s="54">
        <v>15.09</v>
      </c>
      <c r="H28" s="54">
        <v>15.99</v>
      </c>
      <c r="I28" s="59">
        <v>0.22600000000000001</v>
      </c>
      <c r="J28" s="48">
        <v>4.8000000000000001E-2</v>
      </c>
      <c r="K28" s="48">
        <v>-0.25</v>
      </c>
      <c r="L28" s="30"/>
      <c r="M28" s="30"/>
      <c r="N28" s="48" t="s">
        <v>16</v>
      </c>
    </row>
    <row r="29" spans="1:14" x14ac:dyDescent="0.3">
      <c r="A29" s="48" t="s">
        <v>280</v>
      </c>
      <c r="B29" s="48" t="s">
        <v>32</v>
      </c>
      <c r="C29" s="48">
        <v>545</v>
      </c>
      <c r="D29" s="48" t="s">
        <v>36</v>
      </c>
      <c r="E29" s="54">
        <v>49.65</v>
      </c>
      <c r="F29" s="54">
        <v>41.8</v>
      </c>
      <c r="G29" s="54">
        <v>13.04</v>
      </c>
      <c r="H29" s="54">
        <v>13.92</v>
      </c>
      <c r="I29" s="59">
        <v>0.21100000000000002</v>
      </c>
      <c r="J29" s="48">
        <v>4.8000000000000001E-2</v>
      </c>
      <c r="K29" s="48">
        <v>-0.27</v>
      </c>
      <c r="L29" s="23">
        <v>-0.35</v>
      </c>
      <c r="M29" s="23">
        <v>27.2</v>
      </c>
      <c r="N29" s="48" t="s">
        <v>19</v>
      </c>
    </row>
    <row r="30" spans="1:14" x14ac:dyDescent="0.3">
      <c r="A30" s="48" t="s">
        <v>281</v>
      </c>
      <c r="B30" s="48" t="s">
        <v>32</v>
      </c>
      <c r="C30" s="48">
        <v>575</v>
      </c>
      <c r="D30" s="48" t="s">
        <v>15</v>
      </c>
      <c r="E30" s="54">
        <v>50.75</v>
      </c>
      <c r="F30" s="54">
        <v>42.37</v>
      </c>
      <c r="G30" s="54">
        <v>13.57</v>
      </c>
      <c r="H30" s="54">
        <v>14.18</v>
      </c>
      <c r="I30" s="59">
        <v>0.22260000000000002</v>
      </c>
      <c r="J30" s="48">
        <v>4.2999999999999997E-2</v>
      </c>
      <c r="K30" s="48">
        <v>-0.24</v>
      </c>
      <c r="L30" s="10">
        <v>-0.3</v>
      </c>
      <c r="M30" s="10">
        <v>27.7</v>
      </c>
      <c r="N30" s="48" t="s">
        <v>19</v>
      </c>
    </row>
    <row r="31" spans="1:14" x14ac:dyDescent="0.3">
      <c r="A31" s="48" t="s">
        <v>282</v>
      </c>
      <c r="B31" s="48" t="s">
        <v>32</v>
      </c>
      <c r="C31" s="48">
        <v>410</v>
      </c>
      <c r="D31" s="48" t="s">
        <v>36</v>
      </c>
      <c r="E31" s="54">
        <v>37.35</v>
      </c>
      <c r="F31" s="54">
        <v>31.45</v>
      </c>
      <c r="G31" s="54">
        <v>13.04</v>
      </c>
      <c r="H31" s="54">
        <v>13.92</v>
      </c>
      <c r="I31" s="59">
        <v>0.21</v>
      </c>
      <c r="J31" s="48">
        <v>4.8000000000000001E-2</v>
      </c>
      <c r="K31" s="48">
        <v>-0.27</v>
      </c>
      <c r="L31" s="41">
        <v>-0.35</v>
      </c>
      <c r="M31" s="41">
        <v>22.5</v>
      </c>
      <c r="N31" s="48" t="s">
        <v>19</v>
      </c>
    </row>
    <row r="32" spans="1:14" x14ac:dyDescent="0.3">
      <c r="A32" s="48" t="s">
        <v>33</v>
      </c>
      <c r="B32" s="48" t="s">
        <v>32</v>
      </c>
      <c r="C32" s="48">
        <v>585</v>
      </c>
      <c r="D32" s="48" t="s">
        <v>15</v>
      </c>
      <c r="E32" s="54">
        <v>51.1</v>
      </c>
      <c r="F32" s="54">
        <v>42.7</v>
      </c>
      <c r="G32" s="54">
        <v>13.7</v>
      </c>
      <c r="H32" s="54">
        <v>14.31</v>
      </c>
      <c r="I32" s="59">
        <v>0.22649999999999998</v>
      </c>
      <c r="J32" s="48">
        <v>4.2999999999999997E-2</v>
      </c>
      <c r="K32" s="48">
        <v>-0.24</v>
      </c>
      <c r="L32" s="10">
        <v>-0.3</v>
      </c>
      <c r="M32" s="10">
        <v>27.7</v>
      </c>
      <c r="N32" s="48" t="s">
        <v>19</v>
      </c>
    </row>
    <row r="33" spans="1:14" x14ac:dyDescent="0.3">
      <c r="A33" s="48" t="s">
        <v>283</v>
      </c>
      <c r="B33" s="48" t="s">
        <v>32</v>
      </c>
      <c r="C33" s="48">
        <v>570</v>
      </c>
      <c r="D33" s="48" t="s">
        <v>15</v>
      </c>
      <c r="E33" s="54">
        <v>50.6</v>
      </c>
      <c r="F33" s="54">
        <v>42.22</v>
      </c>
      <c r="G33" s="54">
        <v>13.5</v>
      </c>
      <c r="H33" s="54">
        <v>14.11</v>
      </c>
      <c r="I33" s="59">
        <v>0.22059999999999999</v>
      </c>
      <c r="J33" s="48">
        <v>4.2999999999999997E-2</v>
      </c>
      <c r="K33" s="48">
        <v>-0.24</v>
      </c>
      <c r="L33" s="41">
        <v>-0.3</v>
      </c>
      <c r="M33" s="41">
        <v>27.7</v>
      </c>
      <c r="N33" s="48" t="s">
        <v>19</v>
      </c>
    </row>
    <row r="34" spans="1:14" x14ac:dyDescent="0.3">
      <c r="A34" s="48" t="s">
        <v>34</v>
      </c>
      <c r="B34" s="48" t="s">
        <v>32</v>
      </c>
      <c r="C34" s="48">
        <v>610</v>
      </c>
      <c r="D34" s="48" t="s">
        <v>15</v>
      </c>
      <c r="E34" s="54">
        <v>48.1</v>
      </c>
      <c r="F34" s="54">
        <v>39.770000000000003</v>
      </c>
      <c r="G34" s="54">
        <v>15.34</v>
      </c>
      <c r="H34" s="54">
        <v>16.05</v>
      </c>
      <c r="I34" s="59">
        <v>0.22600000000000001</v>
      </c>
      <c r="J34" s="48">
        <v>4.2999999999999997E-2</v>
      </c>
      <c r="K34" s="48">
        <v>-0.24</v>
      </c>
      <c r="L34" s="10">
        <v>-0.3</v>
      </c>
      <c r="M34" s="10">
        <v>28.4</v>
      </c>
      <c r="N34" s="48" t="s">
        <v>19</v>
      </c>
    </row>
    <row r="35" spans="1:14" x14ac:dyDescent="0.3">
      <c r="A35" s="48" t="s">
        <v>35</v>
      </c>
      <c r="B35" s="48" t="s">
        <v>32</v>
      </c>
      <c r="C35" s="48">
        <v>610</v>
      </c>
      <c r="D35" s="48" t="s">
        <v>15</v>
      </c>
      <c r="E35" s="54">
        <v>48.1</v>
      </c>
      <c r="F35" s="54">
        <v>39.770000000000003</v>
      </c>
      <c r="G35" s="54">
        <v>15.34</v>
      </c>
      <c r="H35" s="54">
        <v>16.05</v>
      </c>
      <c r="I35" s="59">
        <v>0.22600000000000001</v>
      </c>
      <c r="J35" s="48">
        <v>4.2999999999999997E-2</v>
      </c>
      <c r="K35" s="48">
        <v>-0.24</v>
      </c>
      <c r="L35" s="41">
        <v>-0.3</v>
      </c>
      <c r="M35" s="41">
        <v>33</v>
      </c>
      <c r="N35" s="48" t="s">
        <v>16</v>
      </c>
    </row>
    <row r="36" spans="1:14" x14ac:dyDescent="0.3">
      <c r="A36" s="48" t="s">
        <v>284</v>
      </c>
      <c r="B36" s="48" t="s">
        <v>32</v>
      </c>
      <c r="C36" s="48">
        <v>450</v>
      </c>
      <c r="D36" s="48" t="s">
        <v>15</v>
      </c>
      <c r="E36" s="54">
        <v>39.299999999999997</v>
      </c>
      <c r="F36" s="54">
        <v>32.82</v>
      </c>
      <c r="G36" s="54">
        <v>13.71</v>
      </c>
      <c r="H36" s="54">
        <v>14.48</v>
      </c>
      <c r="I36" s="59">
        <v>0.22500000000000001</v>
      </c>
      <c r="J36" s="48">
        <v>4.5999999999999999E-2</v>
      </c>
      <c r="K36" s="48">
        <v>-0.26</v>
      </c>
      <c r="L36" s="42"/>
      <c r="M36" s="42"/>
      <c r="N36" s="48" t="s">
        <v>16</v>
      </c>
    </row>
    <row r="37" spans="1:14" x14ac:dyDescent="0.3">
      <c r="A37" s="48" t="s">
        <v>285</v>
      </c>
      <c r="B37" s="48" t="s">
        <v>262</v>
      </c>
      <c r="C37" s="48">
        <v>545</v>
      </c>
      <c r="D37" s="48" t="s">
        <v>36</v>
      </c>
      <c r="E37" s="55">
        <v>46.7</v>
      </c>
      <c r="F37" s="55">
        <v>39.1</v>
      </c>
      <c r="G37" s="55">
        <v>13.96</v>
      </c>
      <c r="H37" s="55">
        <v>14.9</v>
      </c>
      <c r="I37" s="60">
        <v>0.20899999999999999</v>
      </c>
      <c r="J37" s="48">
        <v>0.04</v>
      </c>
      <c r="K37" s="48">
        <v>-0.27</v>
      </c>
      <c r="L37" s="41">
        <v>-0.35</v>
      </c>
      <c r="M37" s="41">
        <v>27.3</v>
      </c>
      <c r="N37" s="48" t="s">
        <v>19</v>
      </c>
    </row>
    <row r="38" spans="1:14" x14ac:dyDescent="0.3">
      <c r="A38" s="48" t="s">
        <v>286</v>
      </c>
      <c r="B38" s="48" t="s">
        <v>262</v>
      </c>
      <c r="C38" s="48">
        <v>555</v>
      </c>
      <c r="D38" s="48" t="s">
        <v>36</v>
      </c>
      <c r="E38" s="54">
        <v>48</v>
      </c>
      <c r="F38" s="54">
        <v>39.6</v>
      </c>
      <c r="G38" s="54">
        <v>14.03</v>
      </c>
      <c r="H38" s="54">
        <v>14.94</v>
      </c>
      <c r="I38" s="59">
        <v>0.214</v>
      </c>
      <c r="J38" s="48">
        <v>0.04</v>
      </c>
      <c r="K38" s="48">
        <v>-0.27</v>
      </c>
      <c r="L38" s="10">
        <v>-0.35</v>
      </c>
      <c r="M38" s="10">
        <v>27.3</v>
      </c>
      <c r="N38" s="48" t="s">
        <v>19</v>
      </c>
    </row>
    <row r="39" spans="1:14" x14ac:dyDescent="0.3">
      <c r="A39" s="48" t="s">
        <v>287</v>
      </c>
      <c r="B39" s="48" t="s">
        <v>263</v>
      </c>
      <c r="C39" s="48">
        <v>540</v>
      </c>
      <c r="D39" s="48" t="s">
        <v>36</v>
      </c>
      <c r="E39" s="54">
        <v>49.6</v>
      </c>
      <c r="F39" s="54">
        <v>41.64</v>
      </c>
      <c r="G39" s="54">
        <v>12.97</v>
      </c>
      <c r="H39" s="54">
        <v>13.86</v>
      </c>
      <c r="I39" s="59">
        <v>0.20899999999999999</v>
      </c>
      <c r="J39" s="48">
        <v>4.4999999999999998E-2</v>
      </c>
      <c r="K39" s="48">
        <v>-0.27500000000000002</v>
      </c>
      <c r="L39" s="41">
        <v>-0.35</v>
      </c>
      <c r="M39" s="41">
        <v>31.8</v>
      </c>
      <c r="N39" s="48" t="s">
        <v>19</v>
      </c>
    </row>
    <row r="40" spans="1:14" x14ac:dyDescent="0.3">
      <c r="A40" s="48" t="s">
        <v>288</v>
      </c>
      <c r="B40" s="48" t="s">
        <v>263</v>
      </c>
      <c r="C40" s="48">
        <v>550</v>
      </c>
      <c r="D40" s="48" t="s">
        <v>36</v>
      </c>
      <c r="E40" s="54">
        <v>49.9</v>
      </c>
      <c r="F40" s="54">
        <v>41.96</v>
      </c>
      <c r="G40" s="54">
        <v>13.11</v>
      </c>
      <c r="H40" s="54">
        <v>14</v>
      </c>
      <c r="I40" s="59">
        <v>0.21299999999999999</v>
      </c>
      <c r="J40" s="48">
        <v>4.4999999999999998E-2</v>
      </c>
      <c r="K40" s="48">
        <v>-0.27500000000000002</v>
      </c>
      <c r="L40" s="10">
        <v>-0.35</v>
      </c>
      <c r="M40" s="10">
        <v>31.8</v>
      </c>
      <c r="N40" s="48" t="s">
        <v>19</v>
      </c>
    </row>
    <row r="41" spans="1:14" x14ac:dyDescent="0.3">
      <c r="A41" s="48" t="s">
        <v>289</v>
      </c>
      <c r="B41" s="48" t="s">
        <v>263</v>
      </c>
      <c r="C41" s="48">
        <v>540</v>
      </c>
      <c r="D41" s="48" t="s">
        <v>36</v>
      </c>
      <c r="E41" s="54">
        <v>49.6</v>
      </c>
      <c r="F41" s="54">
        <v>41.64</v>
      </c>
      <c r="G41" s="54">
        <v>12.97</v>
      </c>
      <c r="H41" s="54">
        <v>13.86</v>
      </c>
      <c r="I41" s="59">
        <v>0.20899999999999999</v>
      </c>
      <c r="J41" s="48">
        <v>4.4999999999999998E-2</v>
      </c>
      <c r="K41" s="48">
        <v>-0.27500000000000002</v>
      </c>
      <c r="L41" s="41">
        <v>-0.28999999999999998</v>
      </c>
      <c r="M41" s="41">
        <v>31.8</v>
      </c>
      <c r="N41" s="48" t="s">
        <v>16</v>
      </c>
    </row>
    <row r="42" spans="1:14" x14ac:dyDescent="0.3">
      <c r="A42" s="48" t="s">
        <v>290</v>
      </c>
      <c r="B42" s="48" t="s">
        <v>263</v>
      </c>
      <c r="C42" s="48">
        <v>545</v>
      </c>
      <c r="D42" s="48" t="s">
        <v>36</v>
      </c>
      <c r="E42" s="54">
        <v>49.75</v>
      </c>
      <c r="F42" s="54">
        <v>41.8</v>
      </c>
      <c r="G42" s="54">
        <v>13.04</v>
      </c>
      <c r="H42" s="54">
        <v>13.93</v>
      </c>
      <c r="I42" s="59">
        <v>0.21099999999999999</v>
      </c>
      <c r="J42" s="48">
        <v>4.4999999999999998E-2</v>
      </c>
      <c r="K42" s="48">
        <v>-0.27500000000000002</v>
      </c>
      <c r="L42" s="10">
        <v>-0.28999999999999998</v>
      </c>
      <c r="M42" s="10">
        <v>33.1</v>
      </c>
      <c r="N42" s="48" t="s">
        <v>16</v>
      </c>
    </row>
    <row r="43" spans="1:14" x14ac:dyDescent="0.3">
      <c r="A43" s="48" t="s">
        <v>291</v>
      </c>
      <c r="B43" s="48" t="s">
        <v>263</v>
      </c>
      <c r="C43" s="48">
        <v>575</v>
      </c>
      <c r="D43" s="48" t="s">
        <v>15</v>
      </c>
      <c r="E43" s="54">
        <v>51.73</v>
      </c>
      <c r="F43" s="54">
        <v>43.82</v>
      </c>
      <c r="G43" s="54">
        <v>13.12</v>
      </c>
      <c r="H43" s="54">
        <v>13.79</v>
      </c>
      <c r="I43" s="59">
        <v>0.223</v>
      </c>
      <c r="J43" s="48">
        <v>4.4999999999999998E-2</v>
      </c>
      <c r="K43" s="48">
        <v>-0.25</v>
      </c>
      <c r="L43" s="41">
        <v>-0.28999999999999998</v>
      </c>
      <c r="M43" s="41">
        <v>31.8</v>
      </c>
      <c r="N43" s="48" t="s">
        <v>16</v>
      </c>
    </row>
    <row r="44" spans="1:14" x14ac:dyDescent="0.3">
      <c r="A44" s="48" t="s">
        <v>292</v>
      </c>
      <c r="B44" s="48" t="s">
        <v>263</v>
      </c>
      <c r="C44" s="48">
        <v>610</v>
      </c>
      <c r="D44" s="48" t="s">
        <v>15</v>
      </c>
      <c r="E44" s="54">
        <v>48.1</v>
      </c>
      <c r="F44" s="54">
        <v>39.770000000000003</v>
      </c>
      <c r="G44" s="54">
        <v>15.34</v>
      </c>
      <c r="H44" s="54">
        <v>16.05</v>
      </c>
      <c r="I44" s="59">
        <v>0.22600000000000001</v>
      </c>
      <c r="J44" s="48">
        <v>4.4999999999999998E-2</v>
      </c>
      <c r="K44" s="48">
        <v>-0.25</v>
      </c>
      <c r="L44" s="10">
        <v>-0.28999999999999998</v>
      </c>
      <c r="M44" s="10">
        <v>38.200000000000003</v>
      </c>
      <c r="N44" s="48" t="s">
        <v>16</v>
      </c>
    </row>
    <row r="45" spans="1:14" x14ac:dyDescent="0.3">
      <c r="A45" s="48" t="s">
        <v>293</v>
      </c>
      <c r="B45" s="48" t="s">
        <v>263</v>
      </c>
      <c r="C45" s="48">
        <v>585</v>
      </c>
      <c r="D45" s="48" t="s">
        <v>15</v>
      </c>
      <c r="E45" s="54">
        <v>52.16</v>
      </c>
      <c r="F45" s="54">
        <v>44.22</v>
      </c>
      <c r="G45" s="54">
        <v>13.23</v>
      </c>
      <c r="H45" s="54">
        <v>13.89</v>
      </c>
      <c r="I45" s="59">
        <v>0.22600000000000001</v>
      </c>
      <c r="J45" s="48">
        <v>4.4999999999999998E-2</v>
      </c>
      <c r="K45" s="48">
        <v>-0.25</v>
      </c>
      <c r="L45" s="41">
        <v>-0.28999999999999998</v>
      </c>
      <c r="M45" s="41">
        <v>33.1</v>
      </c>
      <c r="N45" s="48" t="s">
        <v>16</v>
      </c>
    </row>
    <row r="46" spans="1:14" x14ac:dyDescent="0.3">
      <c r="A46" s="48" t="s">
        <v>294</v>
      </c>
      <c r="B46" s="48" t="s">
        <v>263</v>
      </c>
      <c r="C46" s="48">
        <v>700</v>
      </c>
      <c r="D46" s="48" t="s">
        <v>15</v>
      </c>
      <c r="E46" s="54">
        <v>48.2</v>
      </c>
      <c r="F46" s="54">
        <v>40.42</v>
      </c>
      <c r="G46" s="54">
        <v>17.32</v>
      </c>
      <c r="H46" s="54">
        <v>18.43</v>
      </c>
      <c r="I46" s="59">
        <v>0.22500000000000001</v>
      </c>
      <c r="J46" s="48">
        <v>4.4999999999999998E-2</v>
      </c>
      <c r="K46" s="48">
        <v>-0.25</v>
      </c>
      <c r="L46" s="42"/>
      <c r="M46" s="42"/>
      <c r="N46" s="48" t="s">
        <v>16</v>
      </c>
    </row>
    <row r="47" spans="1:14" x14ac:dyDescent="0.3">
      <c r="A47" s="48" t="s">
        <v>295</v>
      </c>
      <c r="B47" s="48" t="s">
        <v>263</v>
      </c>
      <c r="C47" s="48">
        <v>600</v>
      </c>
      <c r="D47" s="48" t="s">
        <v>15</v>
      </c>
      <c r="E47" s="54">
        <v>47.7</v>
      </c>
      <c r="F47" s="54">
        <v>39.44</v>
      </c>
      <c r="G47" s="54">
        <v>15.21</v>
      </c>
      <c r="H47" s="54">
        <v>15.95</v>
      </c>
      <c r="I47" s="59">
        <v>0.222</v>
      </c>
      <c r="J47" s="48">
        <v>4.4999999999999998E-2</v>
      </c>
      <c r="K47" s="48">
        <v>-0.25</v>
      </c>
      <c r="L47" s="41">
        <v>-0.35</v>
      </c>
      <c r="M47" s="41">
        <v>22</v>
      </c>
      <c r="N47" s="48" t="s">
        <v>16</v>
      </c>
    </row>
    <row r="48" spans="1:14" x14ac:dyDescent="0.3">
      <c r="A48" s="48" t="s">
        <v>296</v>
      </c>
      <c r="B48" s="48" t="s">
        <v>263</v>
      </c>
      <c r="C48" s="48">
        <v>615</v>
      </c>
      <c r="D48" s="48" t="s">
        <v>15</v>
      </c>
      <c r="E48" s="54">
        <v>48.3</v>
      </c>
      <c r="F48" s="54">
        <v>39.96</v>
      </c>
      <c r="G48" s="54">
        <v>15.39</v>
      </c>
      <c r="H48" s="54">
        <v>16.100000000000001</v>
      </c>
      <c r="I48" s="59">
        <v>0.22800000000000001</v>
      </c>
      <c r="J48" s="48">
        <v>4.4999999999999998E-2</v>
      </c>
      <c r="K48" s="48">
        <v>-0.25</v>
      </c>
      <c r="L48" s="10">
        <v>-0.4</v>
      </c>
      <c r="M48" s="10">
        <v>27</v>
      </c>
      <c r="N48" s="48" t="s">
        <v>16</v>
      </c>
    </row>
    <row r="49" spans="1:14" x14ac:dyDescent="0.3">
      <c r="A49" s="48" t="s">
        <v>37</v>
      </c>
      <c r="B49" s="48" t="s">
        <v>38</v>
      </c>
      <c r="C49" s="48">
        <v>400</v>
      </c>
      <c r="D49" s="48" t="s">
        <v>36</v>
      </c>
      <c r="E49" s="54">
        <v>49.8</v>
      </c>
      <c r="F49" s="54">
        <v>41.7</v>
      </c>
      <c r="G49" s="54">
        <v>9.6</v>
      </c>
      <c r="H49" s="54">
        <v>10.36</v>
      </c>
      <c r="I49" s="59">
        <v>0.1988</v>
      </c>
      <c r="J49" s="48">
        <v>4.8000000000000001E-2</v>
      </c>
      <c r="K49" s="48">
        <v>-0.28999999999999998</v>
      </c>
      <c r="L49" s="41">
        <v>-0.35</v>
      </c>
      <c r="M49" s="41">
        <v>22</v>
      </c>
      <c r="N49" s="48" t="s">
        <v>19</v>
      </c>
    </row>
    <row r="50" spans="1:14" x14ac:dyDescent="0.3">
      <c r="A50" s="48" t="s">
        <v>39</v>
      </c>
      <c r="B50" s="48" t="s">
        <v>38</v>
      </c>
      <c r="C50" s="48">
        <v>340</v>
      </c>
      <c r="D50" s="48" t="s">
        <v>36</v>
      </c>
      <c r="E50" s="54">
        <v>47.5</v>
      </c>
      <c r="F50" s="54">
        <v>38.200000000000003</v>
      </c>
      <c r="G50" s="54">
        <v>8.9</v>
      </c>
      <c r="H50" s="54">
        <v>9.2200000000000006</v>
      </c>
      <c r="I50" s="59">
        <v>0.17249999999999999</v>
      </c>
      <c r="J50" s="48">
        <v>0.06</v>
      </c>
      <c r="K50" s="48">
        <v>-0.3</v>
      </c>
      <c r="L50" s="10">
        <v>-0.35</v>
      </c>
      <c r="M50" s="10">
        <v>25</v>
      </c>
      <c r="N50" s="48" t="s">
        <v>19</v>
      </c>
    </row>
    <row r="51" spans="1:14" x14ac:dyDescent="0.3">
      <c r="A51" s="48" t="s">
        <v>40</v>
      </c>
      <c r="B51" s="48" t="s">
        <v>38</v>
      </c>
      <c r="C51" s="48">
        <v>410</v>
      </c>
      <c r="D51" s="48" t="s">
        <v>36</v>
      </c>
      <c r="E51" s="54">
        <v>50.4</v>
      </c>
      <c r="F51" s="54">
        <v>42.3</v>
      </c>
      <c r="G51" s="54">
        <v>9.69</v>
      </c>
      <c r="H51" s="54">
        <v>10.6</v>
      </c>
      <c r="I51" s="60">
        <f>20.38/100</f>
        <v>0.20379999999999998</v>
      </c>
      <c r="J51" s="48">
        <v>4.8000000000000001E-2</v>
      </c>
      <c r="K51" s="48">
        <v>-0.28999999999999998</v>
      </c>
      <c r="L51" s="41">
        <v>-0.35</v>
      </c>
      <c r="M51" s="41">
        <v>25</v>
      </c>
      <c r="N51" s="48" t="s">
        <v>19</v>
      </c>
    </row>
    <row r="52" spans="1:14" x14ac:dyDescent="0.3">
      <c r="A52" s="48" t="s">
        <v>41</v>
      </c>
      <c r="B52" s="48" t="s">
        <v>38</v>
      </c>
      <c r="C52" s="48">
        <v>455</v>
      </c>
      <c r="D52" s="48" t="s">
        <v>36</v>
      </c>
      <c r="E52" s="54">
        <v>51.6</v>
      </c>
      <c r="F52" s="54">
        <v>42.97</v>
      </c>
      <c r="G52" s="54">
        <v>10.59</v>
      </c>
      <c r="H52" s="54">
        <v>11.41</v>
      </c>
      <c r="I52" s="60">
        <f>20.26/100</f>
        <v>0.2026</v>
      </c>
      <c r="J52" s="48">
        <v>4.8000000000000001E-2</v>
      </c>
      <c r="K52" s="48">
        <v>-0.28000000000000003</v>
      </c>
      <c r="L52" s="10">
        <v>-0.35</v>
      </c>
      <c r="M52" s="10">
        <v>28.9</v>
      </c>
      <c r="N52" s="48" t="s">
        <v>19</v>
      </c>
    </row>
    <row r="53" spans="1:14" x14ac:dyDescent="0.3">
      <c r="A53" s="48" t="s">
        <v>42</v>
      </c>
      <c r="B53" s="48" t="s">
        <v>38</v>
      </c>
      <c r="C53" s="48">
        <v>460</v>
      </c>
      <c r="D53" s="48" t="s">
        <v>36</v>
      </c>
      <c r="E53" s="54">
        <v>51.7</v>
      </c>
      <c r="F53" s="54">
        <v>43.08</v>
      </c>
      <c r="G53" s="54">
        <v>10.68</v>
      </c>
      <c r="H53" s="54">
        <v>11.5</v>
      </c>
      <c r="I53" s="60">
        <v>0.20489999999999997</v>
      </c>
      <c r="J53" s="48">
        <v>4.8000000000000001E-2</v>
      </c>
      <c r="K53" s="48">
        <v>-0.28000000000000003</v>
      </c>
      <c r="L53" s="41">
        <v>-0.35</v>
      </c>
      <c r="M53" s="41">
        <v>29.8</v>
      </c>
      <c r="N53" s="48" t="s">
        <v>19</v>
      </c>
    </row>
    <row r="54" spans="1:14" x14ac:dyDescent="0.3">
      <c r="A54" s="48" t="s">
        <v>43</v>
      </c>
      <c r="B54" s="48" t="s">
        <v>38</v>
      </c>
      <c r="C54" s="48">
        <v>525</v>
      </c>
      <c r="D54" s="48" t="s">
        <v>36</v>
      </c>
      <c r="E54" s="54">
        <v>49.13</v>
      </c>
      <c r="F54" s="54">
        <v>40.61</v>
      </c>
      <c r="G54" s="54">
        <v>12.93</v>
      </c>
      <c r="H54" s="54">
        <v>13.61</v>
      </c>
      <c r="I54" s="60">
        <v>0.20760000000000001</v>
      </c>
      <c r="J54" s="48">
        <v>4.8000000000000001E-2</v>
      </c>
      <c r="K54" s="48">
        <v>-0.28000000000000003</v>
      </c>
      <c r="L54" s="10">
        <v>-0.35</v>
      </c>
      <c r="M54" s="10">
        <v>28.9</v>
      </c>
      <c r="N54" s="48" t="s">
        <v>19</v>
      </c>
    </row>
    <row r="55" spans="1:14" x14ac:dyDescent="0.3">
      <c r="A55" s="48" t="s">
        <v>44</v>
      </c>
      <c r="B55" s="48" t="s">
        <v>38</v>
      </c>
      <c r="C55" s="48">
        <v>460</v>
      </c>
      <c r="D55" s="48" t="s">
        <v>36</v>
      </c>
      <c r="E55" s="54">
        <v>52.1</v>
      </c>
      <c r="F55" s="54">
        <v>44.02</v>
      </c>
      <c r="G55" s="54">
        <v>10.45</v>
      </c>
      <c r="H55" s="54">
        <v>11.3</v>
      </c>
      <c r="I55" s="60">
        <v>0.20280000000000001</v>
      </c>
      <c r="J55" s="48">
        <v>4.8000000000000001E-2</v>
      </c>
      <c r="K55" s="48">
        <v>-0.28999999999999998</v>
      </c>
      <c r="L55" s="41">
        <v>-0.35</v>
      </c>
      <c r="M55" s="41">
        <v>28.9</v>
      </c>
      <c r="N55" s="48" t="s">
        <v>16</v>
      </c>
    </row>
    <row r="56" spans="1:14" x14ac:dyDescent="0.3">
      <c r="A56" s="48" t="s">
        <v>45</v>
      </c>
      <c r="B56" s="48" t="s">
        <v>38</v>
      </c>
      <c r="C56" s="48">
        <v>525</v>
      </c>
      <c r="D56" s="48" t="s">
        <v>36</v>
      </c>
      <c r="E56" s="54">
        <v>49.27</v>
      </c>
      <c r="F56" s="54">
        <v>40.61</v>
      </c>
      <c r="G56" s="54">
        <v>12.93</v>
      </c>
      <c r="H56" s="54">
        <v>13.64</v>
      </c>
      <c r="I56" s="60">
        <v>0.2036</v>
      </c>
      <c r="J56" s="48">
        <v>4.8000000000000001E-2</v>
      </c>
      <c r="K56" s="48">
        <v>-0.28000000000000003</v>
      </c>
      <c r="L56" s="10">
        <v>-0.35</v>
      </c>
      <c r="M56" s="10">
        <v>28</v>
      </c>
      <c r="N56" s="48" t="s">
        <v>16</v>
      </c>
    </row>
    <row r="57" spans="1:14" x14ac:dyDescent="0.3">
      <c r="A57" s="48" t="s">
        <v>46</v>
      </c>
      <c r="B57" s="48" t="s">
        <v>38</v>
      </c>
      <c r="C57" s="48">
        <v>530</v>
      </c>
      <c r="D57" s="48" t="s">
        <v>36</v>
      </c>
      <c r="E57" s="54">
        <v>49.35</v>
      </c>
      <c r="F57" s="54">
        <v>40.71</v>
      </c>
      <c r="G57" s="54">
        <v>13.02</v>
      </c>
      <c r="H57" s="54">
        <v>13.71</v>
      </c>
      <c r="I57" s="60">
        <v>0.20550000000000002</v>
      </c>
      <c r="J57" s="48">
        <v>4.8000000000000001E-2</v>
      </c>
      <c r="K57" s="48">
        <v>-0.28000000000000003</v>
      </c>
      <c r="L57" s="41">
        <v>-0.35</v>
      </c>
      <c r="M57" s="41">
        <v>24.2</v>
      </c>
      <c r="N57" s="48" t="s">
        <v>16</v>
      </c>
    </row>
    <row r="58" spans="1:14" x14ac:dyDescent="0.3">
      <c r="A58" s="48" t="s">
        <v>47</v>
      </c>
      <c r="B58" s="48" t="s">
        <v>38</v>
      </c>
      <c r="C58" s="48">
        <v>545</v>
      </c>
      <c r="D58" s="48" t="s">
        <v>36</v>
      </c>
      <c r="E58" s="54">
        <v>49.52</v>
      </c>
      <c r="F58" s="54">
        <v>40.799999999999997</v>
      </c>
      <c r="G58" s="54">
        <v>13.36</v>
      </c>
      <c r="H58" s="54">
        <v>13.94</v>
      </c>
      <c r="I58" s="60">
        <v>0.21129999999999999</v>
      </c>
      <c r="J58" s="48">
        <v>4.8000000000000001E-2</v>
      </c>
      <c r="K58" s="48">
        <v>-0.28000000000000003</v>
      </c>
      <c r="L58" s="10">
        <v>-0.35</v>
      </c>
      <c r="M58" s="10">
        <v>24.2</v>
      </c>
      <c r="N58" s="48" t="s">
        <v>19</v>
      </c>
    </row>
    <row r="59" spans="1:14" x14ac:dyDescent="0.3">
      <c r="A59" s="48" t="s">
        <v>48</v>
      </c>
      <c r="B59" s="48" t="s">
        <v>38</v>
      </c>
      <c r="C59" s="48">
        <v>455</v>
      </c>
      <c r="D59" s="48" t="s">
        <v>36</v>
      </c>
      <c r="E59" s="54">
        <v>41.33</v>
      </c>
      <c r="F59" s="54">
        <v>34.06</v>
      </c>
      <c r="G59" s="54">
        <v>13.36</v>
      </c>
      <c r="H59" s="54">
        <v>13.93</v>
      </c>
      <c r="I59" s="60">
        <v>0.21079999999999999</v>
      </c>
      <c r="J59" s="48">
        <v>4.8000000000000001E-2</v>
      </c>
      <c r="K59" s="48">
        <v>-0.28000000000000003</v>
      </c>
      <c r="L59" s="21">
        <v>-0.35</v>
      </c>
      <c r="M59" s="21">
        <v>28</v>
      </c>
      <c r="N59" s="48" t="s">
        <v>19</v>
      </c>
    </row>
    <row r="60" spans="1:14" x14ac:dyDescent="0.3">
      <c r="A60" s="48" t="s">
        <v>49</v>
      </c>
      <c r="B60" s="48" t="s">
        <v>38</v>
      </c>
      <c r="C60" s="48">
        <v>460</v>
      </c>
      <c r="D60" s="48" t="s">
        <v>36</v>
      </c>
      <c r="E60" s="54">
        <v>41.48</v>
      </c>
      <c r="F60" s="54">
        <v>34.200000000000003</v>
      </c>
      <c r="G60" s="54">
        <v>13.45</v>
      </c>
      <c r="H60" s="54">
        <v>14.01</v>
      </c>
      <c r="I60" s="60">
        <v>0.2132</v>
      </c>
      <c r="J60" s="48">
        <v>4.8000000000000001E-2</v>
      </c>
      <c r="K60" s="48">
        <v>-0.28000000000000003</v>
      </c>
      <c r="L60" s="5">
        <v>-0.28999999999999998</v>
      </c>
      <c r="M60" s="5">
        <v>28</v>
      </c>
      <c r="N60" s="48" t="s">
        <v>19</v>
      </c>
    </row>
    <row r="61" spans="1:14" x14ac:dyDescent="0.3">
      <c r="A61" s="48" t="s">
        <v>50</v>
      </c>
      <c r="B61" s="48" t="s">
        <v>38</v>
      </c>
      <c r="C61" s="48">
        <v>540</v>
      </c>
      <c r="D61" s="48" t="s">
        <v>36</v>
      </c>
      <c r="E61" s="54">
        <v>49.42</v>
      </c>
      <c r="F61" s="54">
        <v>40.700000000000003</v>
      </c>
      <c r="G61" s="54">
        <v>13.27</v>
      </c>
      <c r="H61" s="54">
        <v>13.85</v>
      </c>
      <c r="I61" s="60">
        <v>0.2094</v>
      </c>
      <c r="J61" s="48">
        <v>4.8000000000000001E-2</v>
      </c>
      <c r="K61" s="48">
        <v>-0.28000000000000003</v>
      </c>
      <c r="L61" s="21">
        <v>-0.35</v>
      </c>
      <c r="M61" s="21">
        <v>34.299999999999997</v>
      </c>
      <c r="N61" s="48" t="s">
        <v>19</v>
      </c>
    </row>
    <row r="62" spans="1:14" x14ac:dyDescent="0.3">
      <c r="A62" s="48" t="s">
        <v>297</v>
      </c>
      <c r="B62" s="48" t="s">
        <v>38</v>
      </c>
      <c r="C62" s="48">
        <v>565</v>
      </c>
      <c r="D62" s="48" t="s">
        <v>15</v>
      </c>
      <c r="E62" s="54">
        <v>50.6</v>
      </c>
      <c r="F62" s="54">
        <v>41.92</v>
      </c>
      <c r="G62" s="54">
        <v>13.48</v>
      </c>
      <c r="H62" s="54">
        <v>14.23</v>
      </c>
      <c r="I62" s="60">
        <v>0.21870000000000001</v>
      </c>
      <c r="J62" s="48">
        <v>4.4999999999999998E-2</v>
      </c>
      <c r="K62" s="48">
        <v>-0.25</v>
      </c>
      <c r="L62" s="5">
        <v>-0.35</v>
      </c>
      <c r="M62" s="5">
        <v>28.9</v>
      </c>
      <c r="N62" s="48" t="s">
        <v>19</v>
      </c>
    </row>
    <row r="63" spans="1:14" x14ac:dyDescent="0.3">
      <c r="A63" s="48" t="s">
        <v>51</v>
      </c>
      <c r="B63" s="48" t="s">
        <v>38</v>
      </c>
      <c r="C63" s="48">
        <v>540</v>
      </c>
      <c r="D63" s="48" t="s">
        <v>36</v>
      </c>
      <c r="E63" s="54">
        <v>49.73</v>
      </c>
      <c r="F63" s="54">
        <v>41.13</v>
      </c>
      <c r="G63" s="54">
        <v>13.13</v>
      </c>
      <c r="H63" s="54">
        <v>13.89</v>
      </c>
      <c r="I63" s="60">
        <v>0.2094</v>
      </c>
      <c r="J63" s="48">
        <v>4.8000000000000001E-2</v>
      </c>
      <c r="K63" s="48">
        <v>-0.28000000000000003</v>
      </c>
      <c r="L63" s="21">
        <v>-0.35</v>
      </c>
      <c r="M63" s="21">
        <v>28</v>
      </c>
      <c r="N63" s="48" t="s">
        <v>16</v>
      </c>
    </row>
    <row r="64" spans="1:14" x14ac:dyDescent="0.3">
      <c r="A64" s="48" t="s">
        <v>52</v>
      </c>
      <c r="B64" s="48" t="s">
        <v>38</v>
      </c>
      <c r="C64" s="48">
        <v>550</v>
      </c>
      <c r="D64" s="48" t="s">
        <v>36</v>
      </c>
      <c r="E64" s="54">
        <v>49.62</v>
      </c>
      <c r="F64" s="54">
        <v>40.9</v>
      </c>
      <c r="G64" s="54">
        <v>13.45</v>
      </c>
      <c r="H64" s="54">
        <v>14.03</v>
      </c>
      <c r="I64" s="60">
        <v>0.21329999999999999</v>
      </c>
      <c r="J64" s="48">
        <v>4.8000000000000001E-2</v>
      </c>
      <c r="K64" s="48">
        <v>-0.28000000000000003</v>
      </c>
      <c r="L64" s="5">
        <v>-0.35</v>
      </c>
      <c r="M64" s="5">
        <v>28</v>
      </c>
      <c r="N64" s="48" t="s">
        <v>19</v>
      </c>
    </row>
    <row r="65" spans="1:14" x14ac:dyDescent="0.3">
      <c r="A65" s="48" t="s">
        <v>53</v>
      </c>
      <c r="B65" s="48" t="s">
        <v>38</v>
      </c>
      <c r="C65" s="48">
        <v>560</v>
      </c>
      <c r="D65" s="48" t="s">
        <v>36</v>
      </c>
      <c r="E65" s="54">
        <v>49.82</v>
      </c>
      <c r="F65" s="54">
        <v>41.09</v>
      </c>
      <c r="G65" s="54">
        <v>13.63</v>
      </c>
      <c r="H65" s="54">
        <v>14.21</v>
      </c>
      <c r="I65" s="60">
        <v>0.21679999999999999</v>
      </c>
      <c r="J65" s="48">
        <v>4.8000000000000001E-2</v>
      </c>
      <c r="K65" s="48">
        <v>-0.28000000000000003</v>
      </c>
      <c r="L65" s="21">
        <v>-0.28999999999999998</v>
      </c>
      <c r="M65" s="21">
        <v>31</v>
      </c>
      <c r="N65" s="48" t="s">
        <v>19</v>
      </c>
    </row>
    <row r="66" spans="1:14" x14ac:dyDescent="0.3">
      <c r="A66" s="48" t="s">
        <v>54</v>
      </c>
      <c r="B66" s="48" t="s">
        <v>38</v>
      </c>
      <c r="C66" s="48">
        <v>555</v>
      </c>
      <c r="D66" s="48" t="s">
        <v>36</v>
      </c>
      <c r="E66" s="54">
        <v>49.72</v>
      </c>
      <c r="F66" s="54">
        <v>40.99</v>
      </c>
      <c r="G66" s="54">
        <v>13.54</v>
      </c>
      <c r="H66" s="54">
        <v>14.12</v>
      </c>
      <c r="I66" s="60">
        <v>0.21479999999999999</v>
      </c>
      <c r="J66" s="48">
        <v>4.8000000000000001E-2</v>
      </c>
      <c r="K66" s="48">
        <v>-0.28000000000000003</v>
      </c>
      <c r="L66" s="5">
        <v>-0.28999999999999998</v>
      </c>
      <c r="M66" s="5">
        <v>31</v>
      </c>
      <c r="N66" s="48" t="s">
        <v>19</v>
      </c>
    </row>
    <row r="67" spans="1:14" x14ac:dyDescent="0.3">
      <c r="A67" s="48" t="s">
        <v>55</v>
      </c>
      <c r="B67" s="48" t="s">
        <v>38</v>
      </c>
      <c r="C67" s="48">
        <v>595</v>
      </c>
      <c r="D67" s="48" t="s">
        <v>15</v>
      </c>
      <c r="E67" s="54">
        <v>53.1</v>
      </c>
      <c r="F67" s="54">
        <v>44.31</v>
      </c>
      <c r="G67" s="54">
        <v>13.43</v>
      </c>
      <c r="H67" s="54">
        <v>14.13</v>
      </c>
      <c r="I67" s="60">
        <v>0.2303</v>
      </c>
      <c r="J67" s="48">
        <v>4.4999999999999998E-2</v>
      </c>
      <c r="K67" s="48">
        <v>-0.25</v>
      </c>
      <c r="L67" s="21">
        <v>-0.28999999999999998</v>
      </c>
      <c r="M67" s="21">
        <v>32.4</v>
      </c>
      <c r="N67" s="48" t="s">
        <v>16</v>
      </c>
    </row>
    <row r="68" spans="1:14" x14ac:dyDescent="0.3">
      <c r="A68" s="48" t="s">
        <v>56</v>
      </c>
      <c r="B68" s="48" t="s">
        <v>38</v>
      </c>
      <c r="C68" s="48">
        <v>590</v>
      </c>
      <c r="D68" s="48" t="s">
        <v>15</v>
      </c>
      <c r="E68" s="54">
        <v>52.9</v>
      </c>
      <c r="F68" s="54">
        <v>44.17</v>
      </c>
      <c r="G68" s="54">
        <v>13.36</v>
      </c>
      <c r="H68" s="54">
        <v>14.07</v>
      </c>
      <c r="I68" s="60">
        <v>0.22839999999999999</v>
      </c>
      <c r="J68" s="48">
        <v>4.4999999999999998E-2</v>
      </c>
      <c r="K68" s="48">
        <v>-0.25</v>
      </c>
      <c r="L68" s="5">
        <v>-0.3</v>
      </c>
      <c r="M68" s="5">
        <v>32</v>
      </c>
      <c r="N68" s="48" t="s">
        <v>16</v>
      </c>
    </row>
    <row r="69" spans="1:14" x14ac:dyDescent="0.3">
      <c r="A69" s="48" t="s">
        <v>57</v>
      </c>
      <c r="B69" s="48" t="s">
        <v>38</v>
      </c>
      <c r="C69" s="48">
        <v>610</v>
      </c>
      <c r="D69" s="48" t="s">
        <v>15</v>
      </c>
      <c r="E69" s="54">
        <v>48.68</v>
      </c>
      <c r="F69" s="54">
        <v>40.46</v>
      </c>
      <c r="G69" s="54">
        <v>15.08</v>
      </c>
      <c r="H69" s="54">
        <v>15.96</v>
      </c>
      <c r="I69" s="60">
        <v>0.22579999999999997</v>
      </c>
      <c r="J69" s="48">
        <v>4.4999999999999998E-2</v>
      </c>
      <c r="K69" s="48">
        <v>-0.25</v>
      </c>
      <c r="L69" s="5"/>
      <c r="M69" s="5"/>
      <c r="N69" s="48" t="s">
        <v>16</v>
      </c>
    </row>
    <row r="70" spans="1:14" x14ac:dyDescent="0.3">
      <c r="A70" s="48" t="s">
        <v>58</v>
      </c>
      <c r="B70" s="48" t="s">
        <v>38</v>
      </c>
      <c r="C70" s="48">
        <v>575</v>
      </c>
      <c r="D70" s="48" t="s">
        <v>15</v>
      </c>
      <c r="E70" s="54">
        <v>51.27</v>
      </c>
      <c r="F70" s="54">
        <v>42.44</v>
      </c>
      <c r="G70" s="54">
        <v>13.55</v>
      </c>
      <c r="H70" s="54">
        <v>14.31</v>
      </c>
      <c r="I70" s="60">
        <v>0.22260000000000002</v>
      </c>
      <c r="J70" s="48">
        <v>4.5999999999999999E-2</v>
      </c>
      <c r="K70" s="48">
        <v>-0.25</v>
      </c>
      <c r="L70" s="21">
        <v>-0.3</v>
      </c>
      <c r="M70" s="21">
        <v>33.5</v>
      </c>
      <c r="N70" s="48" t="s">
        <v>16</v>
      </c>
    </row>
    <row r="71" spans="1:14" x14ac:dyDescent="0.3">
      <c r="A71" s="48" t="s">
        <v>298</v>
      </c>
      <c r="B71" s="48" t="s">
        <v>38</v>
      </c>
      <c r="C71" s="48">
        <v>600</v>
      </c>
      <c r="D71" s="48" t="s">
        <v>15</v>
      </c>
      <c r="E71" s="54">
        <v>53.3</v>
      </c>
      <c r="F71" s="54">
        <v>44.45</v>
      </c>
      <c r="G71" s="54">
        <v>13.5</v>
      </c>
      <c r="H71" s="54">
        <v>14.19</v>
      </c>
      <c r="I71" s="60">
        <v>0.23230000000000001</v>
      </c>
      <c r="J71" s="48">
        <v>4.4999999999999998E-2</v>
      </c>
      <c r="K71" s="48">
        <v>-0.25</v>
      </c>
      <c r="L71" s="5"/>
      <c r="M71" s="5"/>
      <c r="N71" s="48" t="s">
        <v>16</v>
      </c>
    </row>
    <row r="72" spans="1:14" x14ac:dyDescent="0.3">
      <c r="A72" s="48" t="s">
        <v>299</v>
      </c>
      <c r="B72" s="48" t="s">
        <v>38</v>
      </c>
      <c r="C72" s="48">
        <v>625</v>
      </c>
      <c r="D72" s="48" t="s">
        <v>15</v>
      </c>
      <c r="E72" s="54">
        <v>49.28</v>
      </c>
      <c r="F72" s="54">
        <v>40.880000000000003</v>
      </c>
      <c r="G72" s="54">
        <v>15.29</v>
      </c>
      <c r="H72" s="54">
        <v>16.14</v>
      </c>
      <c r="I72" s="60">
        <v>0.23139999999999999</v>
      </c>
      <c r="J72" s="48">
        <v>4.4999999999999998E-2</v>
      </c>
      <c r="K72" s="48">
        <v>-0.25</v>
      </c>
      <c r="L72" s="21">
        <v>-0.34</v>
      </c>
      <c r="M72" s="21">
        <v>24.3</v>
      </c>
      <c r="N72" s="48" t="s">
        <v>16</v>
      </c>
    </row>
    <row r="73" spans="1:14" x14ac:dyDescent="0.3">
      <c r="A73" s="48" t="s">
        <v>300</v>
      </c>
      <c r="B73" s="48" t="s">
        <v>38</v>
      </c>
      <c r="C73" s="48">
        <v>615</v>
      </c>
      <c r="D73" s="48" t="s">
        <v>15</v>
      </c>
      <c r="E73" s="54">
        <v>48.88</v>
      </c>
      <c r="F73" s="54">
        <v>40.6</v>
      </c>
      <c r="G73" s="54">
        <v>15.15</v>
      </c>
      <c r="H73" s="54">
        <v>16.02</v>
      </c>
      <c r="I73" s="60">
        <v>0.22769999999999999</v>
      </c>
      <c r="J73" s="48">
        <v>4.4999999999999998E-2</v>
      </c>
      <c r="K73" s="48">
        <v>-0.25</v>
      </c>
      <c r="L73" s="5">
        <v>-0.35</v>
      </c>
      <c r="M73" s="5">
        <v>27.5</v>
      </c>
      <c r="N73" s="48" t="s">
        <v>16</v>
      </c>
    </row>
    <row r="74" spans="1:14" x14ac:dyDescent="0.3">
      <c r="A74" s="48" t="s">
        <v>301</v>
      </c>
      <c r="B74" s="48" t="s">
        <v>38</v>
      </c>
      <c r="C74" s="48">
        <v>580</v>
      </c>
      <c r="D74" s="48" t="s">
        <v>15</v>
      </c>
      <c r="E74" s="54">
        <v>52.5</v>
      </c>
      <c r="F74" s="54">
        <v>43.88</v>
      </c>
      <c r="G74" s="54">
        <v>13.22</v>
      </c>
      <c r="H74" s="54">
        <v>13.95</v>
      </c>
      <c r="I74" s="60">
        <v>0.22450000000000001</v>
      </c>
      <c r="J74" s="48">
        <v>4.4999999999999998E-2</v>
      </c>
      <c r="K74" s="48">
        <v>-0.25</v>
      </c>
      <c r="L74" s="21">
        <v>-0.35</v>
      </c>
      <c r="M74" s="21">
        <v>27.2</v>
      </c>
      <c r="N74" s="48" t="s">
        <v>332</v>
      </c>
    </row>
    <row r="75" spans="1:14" x14ac:dyDescent="0.3">
      <c r="A75" s="48" t="s">
        <v>302</v>
      </c>
      <c r="B75" s="48" t="s">
        <v>38</v>
      </c>
      <c r="C75" s="48">
        <v>620</v>
      </c>
      <c r="D75" s="48" t="s">
        <v>15</v>
      </c>
      <c r="E75" s="54">
        <v>49.08</v>
      </c>
      <c r="F75" s="54">
        <v>40.74</v>
      </c>
      <c r="G75" s="54">
        <v>15.22</v>
      </c>
      <c r="H75" s="54">
        <v>16.079999999999998</v>
      </c>
      <c r="I75" s="60">
        <v>0.22949999999999998</v>
      </c>
      <c r="J75" s="48">
        <v>4.4999999999999998E-2</v>
      </c>
      <c r="K75" s="48">
        <v>-0.25</v>
      </c>
      <c r="L75" s="5">
        <v>-0.35</v>
      </c>
      <c r="M75" s="5">
        <v>25.1</v>
      </c>
      <c r="N75" s="48" t="s">
        <v>332</v>
      </c>
    </row>
    <row r="76" spans="1:14" x14ac:dyDescent="0.3">
      <c r="A76" s="48" t="s">
        <v>303</v>
      </c>
      <c r="B76" s="48" t="s">
        <v>38</v>
      </c>
      <c r="C76" s="48">
        <v>635</v>
      </c>
      <c r="D76" s="48" t="s">
        <v>15</v>
      </c>
      <c r="E76" s="54">
        <v>49.68</v>
      </c>
      <c r="F76" s="54">
        <v>41.16</v>
      </c>
      <c r="G76" s="54">
        <v>15.43</v>
      </c>
      <c r="H76" s="54">
        <v>16.260000000000002</v>
      </c>
      <c r="I76" s="60">
        <v>0.2351</v>
      </c>
      <c r="J76" s="48">
        <v>4.4999999999999998E-2</v>
      </c>
      <c r="K76" s="48">
        <v>-0.25</v>
      </c>
      <c r="L76" s="21">
        <v>-0.35</v>
      </c>
      <c r="M76" s="21">
        <v>27.2</v>
      </c>
      <c r="N76" s="48" t="s">
        <v>16</v>
      </c>
    </row>
    <row r="77" spans="1:14" x14ac:dyDescent="0.3">
      <c r="A77" s="49" t="s">
        <v>304</v>
      </c>
      <c r="B77" s="49" t="s">
        <v>38</v>
      </c>
      <c r="C77" s="49">
        <v>640</v>
      </c>
      <c r="D77" s="49" t="s">
        <v>15</v>
      </c>
      <c r="E77" s="56">
        <v>49.88</v>
      </c>
      <c r="F77" s="56">
        <v>41.3</v>
      </c>
      <c r="G77" s="56">
        <v>15.5</v>
      </c>
      <c r="H77" s="56">
        <v>16.32</v>
      </c>
      <c r="I77" s="61">
        <v>0.2369</v>
      </c>
      <c r="J77" s="49">
        <v>4.4999999999999998E-2</v>
      </c>
      <c r="K77" s="49">
        <v>-0.25</v>
      </c>
      <c r="L77" s="5">
        <v>-0.34</v>
      </c>
      <c r="M77" s="5">
        <v>32.299999999999997</v>
      </c>
      <c r="N77" s="49" t="s">
        <v>16</v>
      </c>
    </row>
    <row r="78" spans="1:14" x14ac:dyDescent="0.3">
      <c r="A78" s="48" t="s">
        <v>305</v>
      </c>
      <c r="B78" s="48" t="s">
        <v>38</v>
      </c>
      <c r="C78" s="48">
        <v>725</v>
      </c>
      <c r="D78" s="48" t="s">
        <v>15</v>
      </c>
      <c r="E78" s="54">
        <v>49.2</v>
      </c>
      <c r="F78" s="54">
        <v>41.11</v>
      </c>
      <c r="G78" s="54">
        <v>17.690000000000001</v>
      </c>
      <c r="H78" s="54">
        <v>18.739999999999998</v>
      </c>
      <c r="I78" s="60">
        <v>0.2334</v>
      </c>
      <c r="J78" s="48">
        <v>4.4999999999999998E-2</v>
      </c>
      <c r="K78" s="48">
        <v>-0.25</v>
      </c>
      <c r="L78" s="5">
        <v>-0.28999999999999998</v>
      </c>
      <c r="M78" s="5">
        <v>27.2</v>
      </c>
      <c r="N78" s="48" t="s">
        <v>16</v>
      </c>
    </row>
    <row r="79" spans="1:14" x14ac:dyDescent="0.3">
      <c r="A79" s="48" t="s">
        <v>59</v>
      </c>
      <c r="B79" s="48" t="s">
        <v>60</v>
      </c>
      <c r="C79" s="48">
        <v>610</v>
      </c>
      <c r="D79" s="48" t="s">
        <v>15</v>
      </c>
      <c r="E79" s="54">
        <v>49.05</v>
      </c>
      <c r="F79" s="54">
        <v>40.659999999999997</v>
      </c>
      <c r="G79" s="54">
        <v>15</v>
      </c>
      <c r="H79" s="54">
        <v>15.84</v>
      </c>
      <c r="I79" s="60">
        <v>0.22579999999999997</v>
      </c>
      <c r="J79" s="48">
        <v>4.5999999999999999E-2</v>
      </c>
      <c r="K79" s="48">
        <v>-0.25</v>
      </c>
      <c r="L79" s="5"/>
      <c r="M79" s="5"/>
      <c r="N79" s="48" t="s">
        <v>16</v>
      </c>
    </row>
    <row r="80" spans="1:14" x14ac:dyDescent="0.3">
      <c r="A80" s="48" t="s">
        <v>306</v>
      </c>
      <c r="B80" s="48" t="s">
        <v>60</v>
      </c>
      <c r="C80" s="48">
        <v>610</v>
      </c>
      <c r="D80" s="48" t="s">
        <v>15</v>
      </c>
      <c r="E80" s="54">
        <v>49.05</v>
      </c>
      <c r="F80" s="54">
        <v>40.659999999999997</v>
      </c>
      <c r="G80" s="54">
        <v>15</v>
      </c>
      <c r="H80" s="54">
        <v>15.84</v>
      </c>
      <c r="I80" s="60">
        <v>0.22559999999999999</v>
      </c>
      <c r="J80" s="48">
        <v>4.5999999999999999E-2</v>
      </c>
      <c r="K80" s="48">
        <v>-0.25</v>
      </c>
      <c r="L80" s="21">
        <v>-0.35</v>
      </c>
      <c r="M80" s="21">
        <v>28.4</v>
      </c>
      <c r="N80" s="48" t="s">
        <v>19</v>
      </c>
    </row>
    <row r="81" spans="1:14" x14ac:dyDescent="0.3">
      <c r="A81" s="48" t="s">
        <v>307</v>
      </c>
      <c r="B81" s="48" t="s">
        <v>60</v>
      </c>
      <c r="C81" s="48">
        <v>620</v>
      </c>
      <c r="D81" s="48" t="s">
        <v>15</v>
      </c>
      <c r="E81" s="54">
        <v>49.55</v>
      </c>
      <c r="F81" s="54">
        <v>41.06</v>
      </c>
      <c r="G81" s="54">
        <v>15.1</v>
      </c>
      <c r="H81" s="54">
        <v>15.93</v>
      </c>
      <c r="I81" s="60">
        <v>0.22950000000000001</v>
      </c>
      <c r="J81" s="48">
        <v>4.5999999999999999E-2</v>
      </c>
      <c r="K81" s="48">
        <v>-0.25</v>
      </c>
      <c r="L81" s="5">
        <v>-0.35</v>
      </c>
      <c r="M81" s="5">
        <v>28.4</v>
      </c>
      <c r="N81" s="48" t="s">
        <v>16</v>
      </c>
    </row>
    <row r="82" spans="1:14" x14ac:dyDescent="0.3">
      <c r="A82" s="48" t="s">
        <v>61</v>
      </c>
      <c r="B82" s="48" t="s">
        <v>62</v>
      </c>
      <c r="C82" s="48">
        <v>450</v>
      </c>
      <c r="D82" s="48" t="s">
        <v>63</v>
      </c>
      <c r="E82" s="54">
        <v>49.3</v>
      </c>
      <c r="F82" s="54">
        <v>41.5</v>
      </c>
      <c r="G82" s="54">
        <v>10.85</v>
      </c>
      <c r="H82" s="54">
        <v>11.6</v>
      </c>
      <c r="I82" s="60">
        <v>0.20699999999999999</v>
      </c>
      <c r="J82" s="48">
        <v>0.05</v>
      </c>
      <c r="K82" s="48">
        <v>-0.26500000000000001</v>
      </c>
      <c r="L82" s="21">
        <v>-0.35</v>
      </c>
      <c r="M82" s="21">
        <v>28.4</v>
      </c>
      <c r="N82" s="48" t="s">
        <v>19</v>
      </c>
    </row>
    <row r="83" spans="1:14" x14ac:dyDescent="0.3">
      <c r="A83" s="48" t="s">
        <v>308</v>
      </c>
      <c r="B83" s="48" t="s">
        <v>62</v>
      </c>
      <c r="C83" s="48">
        <v>450</v>
      </c>
      <c r="D83" s="48" t="s">
        <v>63</v>
      </c>
      <c r="E83" s="54">
        <v>49.6</v>
      </c>
      <c r="F83" s="54">
        <v>41.4</v>
      </c>
      <c r="G83" s="54">
        <v>10.87</v>
      </c>
      <c r="H83" s="54">
        <v>11.58</v>
      </c>
      <c r="I83" s="60">
        <v>0.20699999999999999</v>
      </c>
      <c r="J83" s="48">
        <v>0.05</v>
      </c>
      <c r="K83" s="48">
        <v>-0.28399999999999997</v>
      </c>
      <c r="L83" s="5">
        <v>-0.3</v>
      </c>
      <c r="M83" s="5">
        <v>28.4</v>
      </c>
      <c r="N83" s="48" t="s">
        <v>16</v>
      </c>
    </row>
    <row r="84" spans="1:14" x14ac:dyDescent="0.3">
      <c r="A84" s="48" t="s">
        <v>64</v>
      </c>
      <c r="B84" s="48" t="s">
        <v>62</v>
      </c>
      <c r="C84" s="48">
        <v>540</v>
      </c>
      <c r="D84" s="48" t="s">
        <v>63</v>
      </c>
      <c r="E84" s="54">
        <v>49.5</v>
      </c>
      <c r="F84" s="54">
        <v>41.65</v>
      </c>
      <c r="G84" s="54">
        <v>12.97</v>
      </c>
      <c r="H84" s="54">
        <v>13.85</v>
      </c>
      <c r="I84" s="60">
        <v>0.21100000000000002</v>
      </c>
      <c r="J84" s="48">
        <v>4.8000000000000001E-2</v>
      </c>
      <c r="K84" s="48">
        <v>-0.27</v>
      </c>
      <c r="L84" s="21">
        <v>-0.35</v>
      </c>
      <c r="M84" s="21">
        <v>28.4</v>
      </c>
      <c r="N84" s="48" t="s">
        <v>19</v>
      </c>
    </row>
    <row r="85" spans="1:14" x14ac:dyDescent="0.3">
      <c r="A85" s="48" t="s">
        <v>65</v>
      </c>
      <c r="B85" s="48" t="s">
        <v>62</v>
      </c>
      <c r="C85" s="48">
        <v>500</v>
      </c>
      <c r="D85" s="48" t="s">
        <v>63</v>
      </c>
      <c r="E85" s="54">
        <v>45.55</v>
      </c>
      <c r="F85" s="54">
        <v>38.380000000000003</v>
      </c>
      <c r="G85" s="54">
        <v>13.03</v>
      </c>
      <c r="H85" s="54">
        <v>13.9</v>
      </c>
      <c r="I85" s="60">
        <v>0.21299999999999999</v>
      </c>
      <c r="J85" s="48">
        <v>4.8000000000000001E-2</v>
      </c>
      <c r="K85" s="48">
        <v>-0.27</v>
      </c>
      <c r="L85" s="5">
        <v>-0.3</v>
      </c>
      <c r="M85" s="5">
        <v>27.4</v>
      </c>
      <c r="N85" s="48" t="s">
        <v>19</v>
      </c>
    </row>
    <row r="86" spans="1:14" x14ac:dyDescent="0.3">
      <c r="A86" s="48" t="s">
        <v>66</v>
      </c>
      <c r="B86" s="48" t="s">
        <v>62</v>
      </c>
      <c r="C86" s="48">
        <v>545</v>
      </c>
      <c r="D86" s="48" t="s">
        <v>63</v>
      </c>
      <c r="E86" s="54">
        <v>49.65</v>
      </c>
      <c r="F86" s="54">
        <v>41.8</v>
      </c>
      <c r="G86" s="54">
        <v>13.04</v>
      </c>
      <c r="H86" s="54">
        <v>13.92</v>
      </c>
      <c r="I86" s="60">
        <v>0.21299999999999999</v>
      </c>
      <c r="J86" s="48">
        <v>4.8000000000000001E-2</v>
      </c>
      <c r="K86" s="48">
        <v>-0.27</v>
      </c>
      <c r="L86" s="21">
        <v>-0.28999999999999998</v>
      </c>
      <c r="M86" s="21">
        <v>32.4</v>
      </c>
      <c r="N86" s="48" t="s">
        <v>19</v>
      </c>
    </row>
    <row r="87" spans="1:14" x14ac:dyDescent="0.3">
      <c r="A87" s="48" t="s">
        <v>67</v>
      </c>
      <c r="B87" s="48" t="s">
        <v>62</v>
      </c>
      <c r="C87" s="48">
        <v>540</v>
      </c>
      <c r="D87" s="48" t="s">
        <v>63</v>
      </c>
      <c r="E87" s="54">
        <v>49.5</v>
      </c>
      <c r="F87" s="54">
        <v>41.65</v>
      </c>
      <c r="G87" s="54">
        <v>12.97</v>
      </c>
      <c r="H87" s="54">
        <v>13.85</v>
      </c>
      <c r="I87" s="60">
        <v>0.21100000000000002</v>
      </c>
      <c r="J87" s="48">
        <v>0.05</v>
      </c>
      <c r="K87" s="48">
        <v>-0.26500000000000001</v>
      </c>
      <c r="L87" s="5">
        <v>-0.3</v>
      </c>
      <c r="M87" s="5">
        <v>32</v>
      </c>
      <c r="N87" s="48" t="s">
        <v>16</v>
      </c>
    </row>
    <row r="88" spans="1:14" x14ac:dyDescent="0.3">
      <c r="A88" s="48" t="s">
        <v>309</v>
      </c>
      <c r="B88" s="48" t="s">
        <v>62</v>
      </c>
      <c r="C88" s="48">
        <v>630</v>
      </c>
      <c r="D88" s="48" t="s">
        <v>63</v>
      </c>
      <c r="E88" s="54">
        <v>53.02</v>
      </c>
      <c r="F88" s="54">
        <v>44.78</v>
      </c>
      <c r="G88" s="54">
        <v>14.07</v>
      </c>
      <c r="H88" s="54">
        <v>15.07</v>
      </c>
      <c r="I88" s="60">
        <v>0.23300000000000001</v>
      </c>
      <c r="J88" s="48">
        <v>0.05</v>
      </c>
      <c r="K88" s="48">
        <v>-0.23</v>
      </c>
      <c r="L88" s="5"/>
      <c r="M88" s="5"/>
      <c r="N88" s="48" t="s">
        <v>19</v>
      </c>
    </row>
    <row r="89" spans="1:14" x14ac:dyDescent="0.3">
      <c r="A89" s="48" t="s">
        <v>310</v>
      </c>
      <c r="B89" s="48" t="s">
        <v>62</v>
      </c>
      <c r="C89" s="48">
        <v>625</v>
      </c>
      <c r="D89" s="48" t="s">
        <v>63</v>
      </c>
      <c r="E89" s="54">
        <v>52.87</v>
      </c>
      <c r="F89" s="54">
        <v>44.63</v>
      </c>
      <c r="G89" s="54">
        <v>14.01</v>
      </c>
      <c r="H89" s="54">
        <v>15.01</v>
      </c>
      <c r="I89" s="60">
        <v>0.23100000000000001</v>
      </c>
      <c r="J89" s="48">
        <v>0.05</v>
      </c>
      <c r="K89" s="48">
        <v>-0.23</v>
      </c>
      <c r="L89" s="21">
        <v>-0.24</v>
      </c>
      <c r="M89" s="21">
        <v>40.5</v>
      </c>
      <c r="N89" s="48" t="s">
        <v>19</v>
      </c>
    </row>
    <row r="90" spans="1:14" x14ac:dyDescent="0.3">
      <c r="A90" s="48" t="s">
        <v>311</v>
      </c>
      <c r="B90" s="48" t="s">
        <v>62</v>
      </c>
      <c r="C90" s="48">
        <v>620</v>
      </c>
      <c r="D90" s="48" t="s">
        <v>63</v>
      </c>
      <c r="E90" s="54">
        <v>52.72</v>
      </c>
      <c r="F90" s="54">
        <v>44.48</v>
      </c>
      <c r="G90" s="54">
        <v>13.94</v>
      </c>
      <c r="H90" s="54">
        <v>14.93</v>
      </c>
      <c r="I90" s="60">
        <v>0.23</v>
      </c>
      <c r="J90" s="48">
        <v>0.05</v>
      </c>
      <c r="K90" s="48">
        <v>-0.23</v>
      </c>
      <c r="L90" s="5">
        <v>-0.24</v>
      </c>
      <c r="M90" s="5">
        <v>37.5</v>
      </c>
      <c r="N90" s="48" t="s">
        <v>19</v>
      </c>
    </row>
    <row r="91" spans="1:14" x14ac:dyDescent="0.3">
      <c r="A91" s="48" t="s">
        <v>312</v>
      </c>
      <c r="B91" s="48" t="s">
        <v>62</v>
      </c>
      <c r="C91" s="48">
        <v>580</v>
      </c>
      <c r="D91" s="48" t="s">
        <v>63</v>
      </c>
      <c r="E91" s="54">
        <v>52.21</v>
      </c>
      <c r="F91" s="54">
        <v>44.06</v>
      </c>
      <c r="G91" s="54">
        <v>13.17</v>
      </c>
      <c r="H91" s="54">
        <v>14.2</v>
      </c>
      <c r="I91" s="60">
        <v>0.22500000000000001</v>
      </c>
      <c r="J91" s="48">
        <v>0.05</v>
      </c>
      <c r="K91" s="48">
        <v>-0.23</v>
      </c>
      <c r="L91" s="21">
        <v>-0.24</v>
      </c>
      <c r="M91" s="21">
        <v>40</v>
      </c>
      <c r="N91" s="48" t="s">
        <v>19</v>
      </c>
    </row>
    <row r="92" spans="1:14" x14ac:dyDescent="0.3">
      <c r="A92" s="48" t="s">
        <v>68</v>
      </c>
      <c r="B92" s="48" t="s">
        <v>62</v>
      </c>
      <c r="C92" s="48">
        <v>585</v>
      </c>
      <c r="D92" s="48" t="s">
        <v>63</v>
      </c>
      <c r="E92" s="54">
        <v>52.36</v>
      </c>
      <c r="F92" s="54">
        <v>44.21</v>
      </c>
      <c r="G92" s="54">
        <v>13.24</v>
      </c>
      <c r="H92" s="54">
        <v>14.27</v>
      </c>
      <c r="I92" s="60">
        <v>0.22600000000000001</v>
      </c>
      <c r="J92" s="48">
        <v>0.05</v>
      </c>
      <c r="K92" s="48">
        <v>-0.23</v>
      </c>
      <c r="L92" s="5"/>
      <c r="M92" s="5"/>
      <c r="N92" s="48" t="s">
        <v>19</v>
      </c>
    </row>
    <row r="93" spans="1:14" x14ac:dyDescent="0.3">
      <c r="A93" s="48" t="s">
        <v>313</v>
      </c>
      <c r="B93" s="48" t="s">
        <v>62</v>
      </c>
      <c r="C93" s="48">
        <v>640</v>
      </c>
      <c r="D93" s="48" t="s">
        <v>63</v>
      </c>
      <c r="E93" s="54">
        <v>53.7</v>
      </c>
      <c r="F93" s="54">
        <v>44.36</v>
      </c>
      <c r="G93" s="54">
        <v>14.43</v>
      </c>
      <c r="H93" s="54">
        <v>15.13</v>
      </c>
      <c r="I93" s="60">
        <v>0.23699999999999999</v>
      </c>
      <c r="J93" s="48">
        <v>0.05</v>
      </c>
      <c r="K93" s="48">
        <v>-0.2</v>
      </c>
      <c r="L93" s="21">
        <v>-0.31</v>
      </c>
      <c r="M93" s="21">
        <v>27</v>
      </c>
      <c r="N93" s="48" t="s">
        <v>19</v>
      </c>
    </row>
    <row r="94" spans="1:14" x14ac:dyDescent="0.3">
      <c r="A94" s="48" t="s">
        <v>314</v>
      </c>
      <c r="B94" s="48" t="s">
        <v>62</v>
      </c>
      <c r="C94" s="48">
        <v>635</v>
      </c>
      <c r="D94" s="48" t="s">
        <v>63</v>
      </c>
      <c r="E94" s="54">
        <v>53.6</v>
      </c>
      <c r="F94" s="54">
        <v>44.26</v>
      </c>
      <c r="G94" s="54">
        <v>14.35</v>
      </c>
      <c r="H94" s="54">
        <v>15.05</v>
      </c>
      <c r="I94" s="60">
        <v>0.23499999999999999</v>
      </c>
      <c r="J94" s="48">
        <v>0.05</v>
      </c>
      <c r="K94" s="48">
        <v>-0.2</v>
      </c>
      <c r="L94" s="5"/>
      <c r="M94" s="5"/>
      <c r="N94" s="48" t="s">
        <v>19</v>
      </c>
    </row>
    <row r="95" spans="1:14" x14ac:dyDescent="0.3">
      <c r="A95" s="48" t="s">
        <v>315</v>
      </c>
      <c r="B95" s="48" t="s">
        <v>62</v>
      </c>
      <c r="C95" s="48">
        <v>615</v>
      </c>
      <c r="D95" s="48" t="s">
        <v>63</v>
      </c>
      <c r="E95" s="54">
        <v>52.57</v>
      </c>
      <c r="F95" s="54">
        <v>44.33</v>
      </c>
      <c r="G95" s="54">
        <v>13.88</v>
      </c>
      <c r="H95" s="54">
        <v>14.87</v>
      </c>
      <c r="I95" s="60">
        <v>0.22800000000000001</v>
      </c>
      <c r="J95" s="48">
        <v>0.05</v>
      </c>
      <c r="K95" s="48">
        <v>-0.23</v>
      </c>
      <c r="L95" s="21">
        <v>-0.34</v>
      </c>
      <c r="M95" s="21">
        <v>21</v>
      </c>
      <c r="N95" s="48" t="s">
        <v>19</v>
      </c>
    </row>
    <row r="96" spans="1:14" x14ac:dyDescent="0.3">
      <c r="A96" s="49" t="s">
        <v>316</v>
      </c>
      <c r="B96" s="49" t="s">
        <v>62</v>
      </c>
      <c r="C96" s="49">
        <v>605</v>
      </c>
      <c r="D96" s="48" t="s">
        <v>15</v>
      </c>
      <c r="E96" s="56">
        <v>52.27</v>
      </c>
      <c r="F96" s="56">
        <v>44.03</v>
      </c>
      <c r="G96" s="56">
        <v>13.75</v>
      </c>
      <c r="H96" s="56">
        <v>14.74</v>
      </c>
      <c r="I96" s="61">
        <v>0.224</v>
      </c>
      <c r="J96" s="49">
        <v>0.05</v>
      </c>
      <c r="K96" s="49">
        <v>-0.23</v>
      </c>
      <c r="L96" s="5">
        <v>-0.34</v>
      </c>
      <c r="M96" s="5">
        <v>29.6</v>
      </c>
      <c r="N96" s="49" t="s">
        <v>19</v>
      </c>
    </row>
    <row r="97" spans="1:14" x14ac:dyDescent="0.3">
      <c r="A97" s="48" t="s">
        <v>317</v>
      </c>
      <c r="B97" s="48" t="s">
        <v>62</v>
      </c>
      <c r="C97" s="48">
        <v>610</v>
      </c>
      <c r="D97" s="48" t="s">
        <v>15</v>
      </c>
      <c r="E97" s="54">
        <v>52.42</v>
      </c>
      <c r="F97" s="54">
        <v>44.18</v>
      </c>
      <c r="G97" s="54">
        <v>13.81</v>
      </c>
      <c r="H97" s="54">
        <v>14.8</v>
      </c>
      <c r="I97" s="60">
        <v>0.22600000000000001</v>
      </c>
      <c r="J97" s="48">
        <v>0.05</v>
      </c>
      <c r="K97" s="48">
        <v>-0.23</v>
      </c>
      <c r="L97" s="21">
        <v>-0.34</v>
      </c>
      <c r="M97" s="21">
        <v>38.299999999999997</v>
      </c>
      <c r="N97" s="48" t="s">
        <v>19</v>
      </c>
    </row>
    <row r="98" spans="1:14" x14ac:dyDescent="0.3">
      <c r="A98" s="48" t="s">
        <v>318</v>
      </c>
      <c r="B98" s="48" t="s">
        <v>62</v>
      </c>
      <c r="C98" s="48">
        <v>645</v>
      </c>
      <c r="D98" s="48" t="s">
        <v>15</v>
      </c>
      <c r="E98" s="54">
        <v>53.8</v>
      </c>
      <c r="F98" s="54">
        <v>44.46</v>
      </c>
      <c r="G98" s="54">
        <v>14.51</v>
      </c>
      <c r="H98" s="54">
        <v>15.21</v>
      </c>
      <c r="I98" s="60">
        <v>0.23899999999999999</v>
      </c>
      <c r="J98" s="48">
        <v>0.05</v>
      </c>
      <c r="K98" s="48">
        <v>-0.2</v>
      </c>
      <c r="L98" s="43">
        <v>-0.28999999999999998</v>
      </c>
      <c r="M98" s="43">
        <v>38.299999999999997</v>
      </c>
      <c r="N98" s="48" t="s">
        <v>19</v>
      </c>
    </row>
    <row r="99" spans="1:14" x14ac:dyDescent="0.3">
      <c r="A99" s="48" t="s">
        <v>319</v>
      </c>
      <c r="B99" s="48" t="s">
        <v>264</v>
      </c>
      <c r="C99" s="48">
        <v>545</v>
      </c>
      <c r="D99" s="48" t="s">
        <v>36</v>
      </c>
      <c r="E99" s="54">
        <v>46.9</v>
      </c>
      <c r="F99" s="54">
        <v>39.5</v>
      </c>
      <c r="G99" s="54">
        <v>13.8</v>
      </c>
      <c r="H99" s="54">
        <v>14.64</v>
      </c>
      <c r="I99" s="60">
        <f>20.9/100</f>
        <v>0.20899999999999999</v>
      </c>
      <c r="J99" s="48">
        <v>0.06</v>
      </c>
      <c r="K99" s="48">
        <v>-0.28000000000000003</v>
      </c>
      <c r="L99" s="50"/>
      <c r="M99" s="50"/>
      <c r="N99" s="48" t="s">
        <v>16</v>
      </c>
    </row>
    <row r="100" spans="1:14" x14ac:dyDescent="0.3">
      <c r="A100" s="48" t="s">
        <v>69</v>
      </c>
      <c r="B100" s="48" t="s">
        <v>70</v>
      </c>
      <c r="C100" s="48">
        <v>550</v>
      </c>
      <c r="D100" s="48" t="s">
        <v>36</v>
      </c>
      <c r="E100" s="54">
        <v>50.1</v>
      </c>
      <c r="F100" s="54">
        <v>42.1</v>
      </c>
      <c r="G100" s="54">
        <v>13.06</v>
      </c>
      <c r="H100" s="54">
        <v>14.01</v>
      </c>
      <c r="I100" s="60">
        <v>0.21299999999999999</v>
      </c>
      <c r="J100" s="48">
        <v>4.4999999999999998E-2</v>
      </c>
      <c r="K100" s="48">
        <v>-0.28499999999999998</v>
      </c>
      <c r="L100" s="50"/>
      <c r="M100" s="50"/>
      <c r="N100" s="48" t="s">
        <v>19</v>
      </c>
    </row>
    <row r="101" spans="1:14" x14ac:dyDescent="0.3">
      <c r="A101" s="48" t="s">
        <v>71</v>
      </c>
      <c r="B101" s="48" t="s">
        <v>70</v>
      </c>
      <c r="C101" s="48">
        <v>545</v>
      </c>
      <c r="D101" s="48" t="s">
        <v>36</v>
      </c>
      <c r="E101" s="54">
        <v>49.9</v>
      </c>
      <c r="F101" s="54">
        <v>41.93</v>
      </c>
      <c r="G101" s="54">
        <v>13</v>
      </c>
      <c r="H101" s="54">
        <v>13.92</v>
      </c>
      <c r="I101" s="60">
        <v>0.21079999999999999</v>
      </c>
      <c r="J101" s="48">
        <v>4.4999999999999998E-2</v>
      </c>
      <c r="K101" s="48">
        <v>-0.28499999999999998</v>
      </c>
      <c r="L101" s="50"/>
      <c r="M101" s="50"/>
      <c r="N101" s="48" t="s">
        <v>16</v>
      </c>
    </row>
    <row r="102" spans="1:14" x14ac:dyDescent="0.3">
      <c r="A102" s="48" t="s">
        <v>72</v>
      </c>
      <c r="B102" s="48" t="s">
        <v>70</v>
      </c>
      <c r="C102" s="48">
        <v>545</v>
      </c>
      <c r="D102" s="48" t="s">
        <v>36</v>
      </c>
      <c r="E102" s="54">
        <v>49.9</v>
      </c>
      <c r="F102" s="54">
        <v>41.93</v>
      </c>
      <c r="G102" s="54">
        <v>13</v>
      </c>
      <c r="H102" s="54">
        <v>13.92</v>
      </c>
      <c r="I102" s="60">
        <v>0.21100000000000002</v>
      </c>
      <c r="J102" s="48">
        <v>4.4999999999999998E-2</v>
      </c>
      <c r="K102" s="48">
        <v>-0.28499999999999998</v>
      </c>
      <c r="L102" s="50"/>
      <c r="M102" s="50"/>
      <c r="N102" s="48" t="s">
        <v>19</v>
      </c>
    </row>
    <row r="103" spans="1:14" x14ac:dyDescent="0.3">
      <c r="A103" s="48" t="s">
        <v>73</v>
      </c>
      <c r="B103" s="48" t="s">
        <v>70</v>
      </c>
      <c r="C103" s="48">
        <v>570</v>
      </c>
      <c r="D103" s="48" t="s">
        <v>15</v>
      </c>
      <c r="E103" s="54">
        <v>50.74</v>
      </c>
      <c r="F103" s="54">
        <v>42.07</v>
      </c>
      <c r="G103" s="54">
        <v>13.55</v>
      </c>
      <c r="H103" s="54">
        <v>14.31</v>
      </c>
      <c r="I103" s="60">
        <v>0.22070000000000001</v>
      </c>
      <c r="J103" s="48">
        <v>4.5999999999999999E-2</v>
      </c>
      <c r="K103" s="48">
        <v>-0.25</v>
      </c>
      <c r="L103" s="50"/>
      <c r="M103" s="50"/>
      <c r="N103" s="48" t="s">
        <v>19</v>
      </c>
    </row>
    <row r="104" spans="1:14" x14ac:dyDescent="0.3">
      <c r="A104" s="48" t="s">
        <v>74</v>
      </c>
      <c r="B104" s="48" t="s">
        <v>70</v>
      </c>
      <c r="C104" s="48">
        <v>555</v>
      </c>
      <c r="D104" s="48" t="s">
        <v>36</v>
      </c>
      <c r="E104" s="54">
        <v>50.3</v>
      </c>
      <c r="F104" s="54">
        <v>42.27</v>
      </c>
      <c r="G104" s="54">
        <v>13.13</v>
      </c>
      <c r="H104" s="54">
        <v>14.1</v>
      </c>
      <c r="I104" s="60">
        <v>0.215</v>
      </c>
      <c r="J104" s="48">
        <v>4.4999999999999998E-2</v>
      </c>
      <c r="K104" s="48">
        <v>-0.28499999999999998</v>
      </c>
      <c r="L104" s="50"/>
      <c r="M104" s="50"/>
      <c r="N104" s="48" t="s">
        <v>19</v>
      </c>
    </row>
    <row r="105" spans="1:14" x14ac:dyDescent="0.3">
      <c r="A105" s="48" t="s">
        <v>75</v>
      </c>
      <c r="B105" s="48" t="s">
        <v>70</v>
      </c>
      <c r="C105" s="48">
        <v>585</v>
      </c>
      <c r="D105" s="48" t="s">
        <v>15</v>
      </c>
      <c r="E105" s="54">
        <v>51.16</v>
      </c>
      <c r="F105" s="54">
        <v>42.52</v>
      </c>
      <c r="G105" s="54">
        <v>13.76</v>
      </c>
      <c r="H105" s="54">
        <v>14.55</v>
      </c>
      <c r="I105" s="60">
        <v>0.22649999999999998</v>
      </c>
      <c r="J105" s="48">
        <v>4.7E-2</v>
      </c>
      <c r="K105" s="48">
        <v>-0.26</v>
      </c>
      <c r="L105" s="50"/>
      <c r="M105" s="50"/>
      <c r="N105" s="48" t="s">
        <v>19</v>
      </c>
    </row>
    <row r="106" spans="1:14" x14ac:dyDescent="0.3">
      <c r="A106" s="48" t="s">
        <v>76</v>
      </c>
      <c r="B106" s="48" t="s">
        <v>70</v>
      </c>
      <c r="C106" s="48">
        <v>610</v>
      </c>
      <c r="D106" s="48" t="s">
        <v>15</v>
      </c>
      <c r="E106" s="54">
        <v>48.68</v>
      </c>
      <c r="F106" s="54">
        <v>40.46</v>
      </c>
      <c r="G106" s="54">
        <v>40.46</v>
      </c>
      <c r="H106" s="54">
        <v>15.96</v>
      </c>
      <c r="I106" s="60">
        <v>0.22600000000000001</v>
      </c>
      <c r="J106" s="48">
        <v>4.4999999999999998E-2</v>
      </c>
      <c r="K106" s="48">
        <v>-0.25</v>
      </c>
      <c r="L106" s="50"/>
      <c r="M106" s="50"/>
      <c r="N106" s="48" t="s">
        <v>16</v>
      </c>
    </row>
    <row r="107" spans="1:14" x14ac:dyDescent="0.3">
      <c r="A107" s="48" t="s">
        <v>77</v>
      </c>
      <c r="B107" s="48" t="s">
        <v>70</v>
      </c>
      <c r="C107" s="48">
        <v>585</v>
      </c>
      <c r="D107" s="48" t="s">
        <v>15</v>
      </c>
      <c r="E107" s="54">
        <v>51.16</v>
      </c>
      <c r="F107" s="54">
        <v>42.52</v>
      </c>
      <c r="G107" s="54">
        <v>13.76</v>
      </c>
      <c r="H107" s="54">
        <v>14.55</v>
      </c>
      <c r="I107" s="60">
        <v>0.22600000000000001</v>
      </c>
      <c r="J107" s="48">
        <v>4.1000000000000002E-2</v>
      </c>
      <c r="K107" s="48">
        <v>-0.25</v>
      </c>
      <c r="L107" s="50"/>
      <c r="M107" s="50"/>
      <c r="N107" s="48" t="s">
        <v>16</v>
      </c>
    </row>
    <row r="108" spans="1:14" x14ac:dyDescent="0.3">
      <c r="A108" s="48" t="s">
        <v>320</v>
      </c>
      <c r="B108" s="48" t="s">
        <v>70</v>
      </c>
      <c r="C108" s="48">
        <v>610</v>
      </c>
      <c r="D108" s="48" t="s">
        <v>15</v>
      </c>
      <c r="E108" s="54">
        <v>48.68</v>
      </c>
      <c r="F108" s="54">
        <v>40.46</v>
      </c>
      <c r="G108" s="54">
        <v>15.08</v>
      </c>
      <c r="H108" s="54">
        <v>15.96</v>
      </c>
      <c r="I108" s="60">
        <v>0.22600000000000001</v>
      </c>
      <c r="J108" s="48">
        <v>4.4999999999999998E-2</v>
      </c>
      <c r="K108" s="48">
        <v>-0.25</v>
      </c>
      <c r="L108" s="50"/>
      <c r="M108" s="50"/>
      <c r="N108" s="48" t="s">
        <v>19</v>
      </c>
    </row>
    <row r="109" spans="1:14" x14ac:dyDescent="0.3">
      <c r="A109" s="48" t="s">
        <v>321</v>
      </c>
      <c r="B109" s="48" t="s">
        <v>70</v>
      </c>
      <c r="C109" s="48">
        <v>710</v>
      </c>
      <c r="D109" s="48" t="s">
        <v>15</v>
      </c>
      <c r="E109" s="54">
        <v>49.34</v>
      </c>
      <c r="F109" s="54">
        <v>41.12</v>
      </c>
      <c r="G109" s="54">
        <v>17.27</v>
      </c>
      <c r="H109" s="54">
        <v>18.04</v>
      </c>
      <c r="I109" s="60">
        <v>0.2286</v>
      </c>
      <c r="J109" s="48">
        <v>4.1000000000000002E-2</v>
      </c>
      <c r="K109" s="48">
        <v>-0.25</v>
      </c>
      <c r="L109" s="50"/>
      <c r="M109" s="50"/>
      <c r="N109" s="48" t="s">
        <v>16</v>
      </c>
    </row>
    <row r="110" spans="1:14" x14ac:dyDescent="0.3">
      <c r="A110" s="48" t="s">
        <v>322</v>
      </c>
      <c r="B110" s="48" t="s">
        <v>78</v>
      </c>
      <c r="C110" s="48">
        <v>695</v>
      </c>
      <c r="D110" s="48" t="s">
        <v>15</v>
      </c>
      <c r="E110" s="48">
        <v>49.74</v>
      </c>
      <c r="F110" s="48">
        <v>41.71</v>
      </c>
      <c r="G110" s="48">
        <v>16.68</v>
      </c>
      <c r="H110" s="48">
        <v>17.739999999999998</v>
      </c>
      <c r="I110" s="60">
        <v>0.22399999999999998</v>
      </c>
      <c r="J110" s="48">
        <v>4.7E-2</v>
      </c>
      <c r="K110" s="48">
        <v>-0.22</v>
      </c>
      <c r="L110" s="50"/>
      <c r="M110" s="50"/>
      <c r="N110" s="48" t="s">
        <v>16</v>
      </c>
    </row>
    <row r="111" spans="1:14" x14ac:dyDescent="0.3">
      <c r="A111" s="48" t="s">
        <v>323</v>
      </c>
      <c r="B111" s="48" t="s">
        <v>78</v>
      </c>
      <c r="C111" s="48">
        <v>700</v>
      </c>
      <c r="D111" s="48" t="s">
        <v>15</v>
      </c>
      <c r="E111" s="48">
        <v>49.83</v>
      </c>
      <c r="F111" s="48">
        <v>41.78</v>
      </c>
      <c r="G111" s="48">
        <v>16.77</v>
      </c>
      <c r="H111" s="48">
        <v>17.82</v>
      </c>
      <c r="I111" s="60">
        <v>0.22500000000000001</v>
      </c>
      <c r="J111" s="48">
        <v>4.7E-2</v>
      </c>
      <c r="K111" s="48">
        <v>-0.22</v>
      </c>
      <c r="L111" s="50"/>
      <c r="M111" s="50"/>
      <c r="N111" s="48" t="s">
        <v>16</v>
      </c>
    </row>
    <row r="112" spans="1:14" x14ac:dyDescent="0.3">
      <c r="A112" s="48" t="s">
        <v>324</v>
      </c>
      <c r="B112" s="48" t="s">
        <v>17</v>
      </c>
      <c r="C112" s="48">
        <v>620</v>
      </c>
      <c r="D112" s="48" t="s">
        <v>15</v>
      </c>
      <c r="E112" s="48">
        <v>49.6</v>
      </c>
      <c r="F112" s="48">
        <v>41.4</v>
      </c>
      <c r="G112" s="48">
        <v>14.99</v>
      </c>
      <c r="H112" s="48">
        <v>15.91</v>
      </c>
      <c r="I112" s="60">
        <v>0.23</v>
      </c>
      <c r="J112" s="48">
        <v>4.5999999999999999E-2</v>
      </c>
      <c r="K112" s="48">
        <v>-0.25</v>
      </c>
      <c r="L112" s="50"/>
      <c r="M112" s="50"/>
      <c r="N112" s="48" t="s">
        <v>16</v>
      </c>
    </row>
    <row r="113" spans="1:14" x14ac:dyDescent="0.3">
      <c r="A113" s="48" t="s">
        <v>325</v>
      </c>
      <c r="B113" s="48" t="s">
        <v>79</v>
      </c>
      <c r="C113" s="48">
        <v>585</v>
      </c>
      <c r="D113" s="48" t="s">
        <v>15</v>
      </c>
      <c r="E113" s="48">
        <v>52.41</v>
      </c>
      <c r="F113" s="48">
        <v>43.37</v>
      </c>
      <c r="G113" s="48">
        <v>13.49</v>
      </c>
      <c r="H113" s="48">
        <v>14.09</v>
      </c>
      <c r="I113" s="60">
        <f>22.11/100</f>
        <v>0.22109999999999999</v>
      </c>
      <c r="J113" s="48">
        <v>4.5999999999999999E-2</v>
      </c>
      <c r="K113" s="48">
        <v>-0.26</v>
      </c>
      <c r="L113" s="50"/>
      <c r="M113" s="50"/>
      <c r="N113" s="48" t="s">
        <v>19</v>
      </c>
    </row>
    <row r="114" spans="1:14" x14ac:dyDescent="0.3">
      <c r="A114" s="49" t="s">
        <v>326</v>
      </c>
      <c r="B114" s="49" t="s">
        <v>265</v>
      </c>
      <c r="C114" s="49">
        <v>610</v>
      </c>
      <c r="D114" s="49" t="s">
        <v>15</v>
      </c>
      <c r="E114" s="57">
        <v>48.5</v>
      </c>
      <c r="F114" s="57">
        <v>40.590000000000003</v>
      </c>
      <c r="G114" s="57">
        <v>15.03</v>
      </c>
      <c r="H114" s="57">
        <v>15.95</v>
      </c>
      <c r="I114" s="61">
        <v>0.22600000000000001</v>
      </c>
      <c r="J114" s="49">
        <v>4.4999999999999998E-2</v>
      </c>
      <c r="K114" s="49">
        <v>-0.24</v>
      </c>
      <c r="L114" s="50"/>
      <c r="M114" s="50"/>
      <c r="N114" s="49" t="s">
        <v>16</v>
      </c>
    </row>
    <row r="115" spans="1:14" x14ac:dyDescent="0.3">
      <c r="A115" s="49" t="s">
        <v>327</v>
      </c>
      <c r="B115" s="49" t="s">
        <v>265</v>
      </c>
      <c r="C115" s="49">
        <v>615</v>
      </c>
      <c r="D115" s="49" t="s">
        <v>15</v>
      </c>
      <c r="E115" s="57">
        <v>48.72</v>
      </c>
      <c r="F115" s="57">
        <v>40.79</v>
      </c>
      <c r="G115" s="57">
        <v>15.08</v>
      </c>
      <c r="H115" s="57">
        <v>16</v>
      </c>
      <c r="I115" s="61">
        <v>0.22800000000000001</v>
      </c>
      <c r="J115" s="49">
        <v>4.4999999999999998E-2</v>
      </c>
      <c r="K115" s="49">
        <v>-0.24</v>
      </c>
      <c r="L115" s="50"/>
      <c r="M115" s="50"/>
      <c r="N115" s="49" t="s">
        <v>16</v>
      </c>
    </row>
    <row r="116" spans="1:14" x14ac:dyDescent="0.3">
      <c r="A116" s="48" t="s">
        <v>328</v>
      </c>
      <c r="B116" s="48" t="s">
        <v>265</v>
      </c>
      <c r="C116" s="48">
        <v>620</v>
      </c>
      <c r="D116" s="48" t="s">
        <v>15</v>
      </c>
      <c r="E116" s="55">
        <v>48.94</v>
      </c>
      <c r="F116" s="55">
        <v>40.98</v>
      </c>
      <c r="G116" s="55">
        <v>15.13</v>
      </c>
      <c r="H116" s="55">
        <v>16.05</v>
      </c>
      <c r="I116" s="60">
        <v>0.23</v>
      </c>
      <c r="J116" s="48">
        <v>4.4999999999999998E-2</v>
      </c>
      <c r="K116" s="48">
        <v>-0.24</v>
      </c>
      <c r="L116" s="50"/>
      <c r="M116" s="50"/>
      <c r="N116" s="48" t="s">
        <v>16</v>
      </c>
    </row>
    <row r="117" spans="1:14" x14ac:dyDescent="0.3">
      <c r="A117" s="48" t="s">
        <v>80</v>
      </c>
      <c r="B117" s="48" t="s">
        <v>81</v>
      </c>
      <c r="C117" s="48">
        <v>405</v>
      </c>
      <c r="D117" s="48"/>
      <c r="E117" s="54">
        <v>41.4</v>
      </c>
      <c r="F117" s="54">
        <v>34.4</v>
      </c>
      <c r="G117" s="54">
        <v>11.77</v>
      </c>
      <c r="H117" s="54">
        <v>12.34</v>
      </c>
      <c r="I117" s="60">
        <v>0.21099999999999999</v>
      </c>
      <c r="J117" s="48">
        <v>0.04</v>
      </c>
      <c r="K117" s="48">
        <v>-0.25</v>
      </c>
      <c r="L117" s="50"/>
      <c r="M117" s="50"/>
      <c r="N117" s="48" t="s">
        <v>19</v>
      </c>
    </row>
    <row r="118" spans="1:14" x14ac:dyDescent="0.3">
      <c r="A118" s="48" t="s">
        <v>329</v>
      </c>
      <c r="B118" s="48" t="s">
        <v>81</v>
      </c>
      <c r="C118" s="48">
        <v>575</v>
      </c>
      <c r="D118" s="48"/>
      <c r="E118" s="54">
        <v>45.7</v>
      </c>
      <c r="F118" s="54">
        <v>38.200000000000003</v>
      </c>
      <c r="G118" s="54">
        <v>15.07</v>
      </c>
      <c r="H118" s="54">
        <v>16.079999999999998</v>
      </c>
      <c r="I118" s="60">
        <f>21.3/100</f>
        <v>0.21299999999999999</v>
      </c>
      <c r="J118" s="48">
        <v>0.04</v>
      </c>
      <c r="K118" s="48">
        <v>-0.25</v>
      </c>
      <c r="L118" s="50"/>
      <c r="M118" s="50"/>
      <c r="N118" s="48" t="s">
        <v>19</v>
      </c>
    </row>
    <row r="119" spans="1:14" x14ac:dyDescent="0.3">
      <c r="A119" s="48" t="s">
        <v>330</v>
      </c>
      <c r="B119" s="48" t="s">
        <v>81</v>
      </c>
      <c r="C119" s="48">
        <v>660</v>
      </c>
      <c r="D119" s="48"/>
      <c r="E119" s="54">
        <v>45.9</v>
      </c>
      <c r="F119" s="54">
        <v>38.1</v>
      </c>
      <c r="G119" s="54">
        <v>17.350000000000001</v>
      </c>
      <c r="H119" s="54">
        <v>18.45</v>
      </c>
      <c r="I119" s="60">
        <f>21.2/100</f>
        <v>0.21199999999999999</v>
      </c>
      <c r="J119" s="48">
        <v>0.04</v>
      </c>
      <c r="K119" s="48">
        <v>-0.25</v>
      </c>
      <c r="L119" s="50"/>
      <c r="M119" s="50"/>
      <c r="N119" s="48" t="s">
        <v>16</v>
      </c>
    </row>
    <row r="120" spans="1:14" x14ac:dyDescent="0.3">
      <c r="A120" s="48" t="s">
        <v>331</v>
      </c>
      <c r="B120" s="48" t="s">
        <v>81</v>
      </c>
      <c r="C120" s="48">
        <v>710</v>
      </c>
      <c r="D120" s="48"/>
      <c r="E120" s="54">
        <v>49</v>
      </c>
      <c r="F120" s="54">
        <v>40.9</v>
      </c>
      <c r="G120" s="54">
        <v>17.36</v>
      </c>
      <c r="H120" s="54">
        <v>18.399999999999999</v>
      </c>
      <c r="I120" s="60">
        <f>22.9/100</f>
        <v>0.22899999999999998</v>
      </c>
      <c r="J120" s="48">
        <v>0.04</v>
      </c>
      <c r="K120" s="48">
        <v>-0.24</v>
      </c>
      <c r="L120" s="50"/>
      <c r="M120" s="50"/>
      <c r="N120" s="48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5</vt:i4>
      </vt:variant>
    </vt:vector>
  </HeadingPairs>
  <TitlesOfParts>
    <vt:vector size="8" baseType="lpstr">
      <vt:lpstr>INVERSORES</vt:lpstr>
      <vt:lpstr>Planilha1</vt:lpstr>
      <vt:lpstr>MODULOS</vt:lpstr>
      <vt:lpstr>INVERSORES!Area_de_impressao</vt:lpstr>
      <vt:lpstr>INVERSORES</vt:lpstr>
      <vt:lpstr>INVERSORES1</vt:lpstr>
      <vt:lpstr>MÓDULOS</vt:lpstr>
      <vt:lpstr>MÓDULOS1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Castilhos</dc:creator>
  <cp:lastModifiedBy>Sebastião Agostini Carara Junior</cp:lastModifiedBy>
  <cp:lastPrinted>2021-07-16T14:21:18Z</cp:lastPrinted>
  <dcterms:created xsi:type="dcterms:W3CDTF">2015-06-05T18:19:34Z</dcterms:created>
  <dcterms:modified xsi:type="dcterms:W3CDTF">2026-04-01T20:54:02Z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0x010100ED0C9D4148E92C4998397675871FD5E4</vt:lpwstr>
  </property>
  <property fmtid="{D5CDD505-2E9C-101B-9397-08002B2CF9AE}" pid="3" name="MediaServiceImageTags">
    <vt:lpwstr/>
  </property>
</Properties>
</file>